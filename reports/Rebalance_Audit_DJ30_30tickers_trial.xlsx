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Rebalance_Audit" sheetId="3" state="visible" r:id="rId3"/>
    <sheet xmlns:r="http://schemas.openxmlformats.org/officeDocument/2006/relationships" name="Holdings_By_Week" sheetId="4" state="visible" r:id="rId4"/>
  </sheets>
  <definedNames>
    <definedName name="InitialCapital">Config!$B$5</definedName>
    <definedName name="_xlnm._FilterDatabase" localSheetId="1" hidden="1">'Weekly_Summary'!$A$1:$M$4</definedName>
    <definedName name="_xlnm._FilterDatabase" localSheetId="2" hidden="1">'Rebalance_Audit'!$A$1:$U$94</definedName>
    <definedName name="_xlnm._FilterDatabase" localSheetId="3" hidden="1">'Holdings_By_Week'!$A$1:$J$16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5" borderId="0" pivotButton="0" quotePrefix="0" xfId="0"/>
    <xf numFmtId="0" fontId="2" fillId="0" borderId="0" pivotButton="0" quotePrefix="0" xfId="0"/>
    <xf numFmtId="4" fontId="0" fillId="2" borderId="0" pivotButton="0" quotePrefix="0" xfId="0"/>
    <xf numFmtId="0" fontId="3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4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10" fontId="2" fillId="4" borderId="1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WeeklySummary" displayName="WeeklySummary" ref="A1:M4" headerRowCount="1">
  <autoFilter ref="A1:M4"/>
  <tableColumns count="13">
    <tableColumn id="1" name="Market"/>
    <tableColumn id="2" name="WeekEnding"/>
    <tableColumn id="3" name="Benchmark"/>
    <tableColumn id="4" name="portfolio_start_value"/>
    <tableColumn id="5" name="portfolio_end_value"/>
    <tableColumn id="6" name="weekly_pnl"/>
    <tableColumn id="7" name="weekly_return"/>
    <tableColumn id="8" name="benchmark_return"/>
    <tableColumn id="9" name="excess_return"/>
    <tableColumn id="10" name="action"/>
    <tableColumn id="11" name="in_tickers"/>
    <tableColumn id="12" name="out_tickers"/>
    <tableColumn id="13" name="selected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balanceAudit" displayName="RebalanceAudit" ref="A1:U94" headerRowCount="1">
  <autoFilter ref="A1:U94"/>
  <tableColumns count="21">
    <tableColumn id="1" name="Market"/>
    <tableColumn id="2" name="WeekEnding"/>
    <tableColumn id="3" name="Benchmark"/>
    <tableColumn id="4" name="Asset"/>
    <tableColumn id="5" name="Company"/>
    <tableColumn id="6" name="Sector"/>
    <tableColumn id="7" name="last_price"/>
    <tableColumn id="8" name="position_before"/>
    <tableColumn id="9" name="qty_before"/>
    <tableColumn id="10" name="value_before"/>
    <tableColumn id="11" name="weight_before"/>
    <tableColumn id="12" name="Status"/>
    <tableColumn id="13" name="target_weight"/>
    <tableColumn id="14" name="value_change"/>
    <tableColumn id="15" name="qty_change"/>
    <tableColumn id="16" name="position_after"/>
    <tableColumn id="17" name="qty_after"/>
    <tableColumn id="18" name="value_after"/>
    <tableColumn id="19" name="weight_after"/>
    <tableColumn id="20" name="benchmark_return"/>
    <tableColumn id="2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oldingsByWeek" displayName="HoldingsByWeek" ref="A1:J16" headerRowCount="1">
  <autoFilter ref="A1:J16"/>
  <tableColumns count="10">
    <tableColumn id="1" name="Market"/>
    <tableColumn id="2" name="WeekEnding"/>
    <tableColumn id="3" name="Benchmark"/>
    <tableColumn id="4" name="Asset"/>
    <tableColumn id="5" name="Company"/>
    <tableColumn id="6" name="Sector"/>
    <tableColumn id="7" name="last_price"/>
    <tableColumn id="8" name="qty_after"/>
    <tableColumn id="9" name="value_after"/>
    <tableColumn id="10" name="weight_af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>
      <c r="A1" s="1" t="inlineStr">
        <is>
          <t>TradingAlgo Mosaic - DJ30 30 Tickers Rebalance Audit Trial</t>
        </is>
      </c>
    </row>
    <row r="3">
      <c r="A3" s="2" t="inlineStr">
        <is>
          <t>Market</t>
        </is>
      </c>
      <c r="B3" t="inlineStr">
        <is>
          <t>DJ30</t>
        </is>
      </c>
    </row>
    <row r="4">
      <c r="A4" s="2" t="inlineStr">
        <is>
          <t>Benchmark</t>
        </is>
      </c>
      <c r="B4" t="inlineStr">
        <is>
          <t>DIA</t>
        </is>
      </c>
    </row>
    <row r="5">
      <c r="A5" s="2" t="inlineStr">
        <is>
          <t>Initial capital</t>
        </is>
      </c>
      <c r="B5" s="3" t="n">
        <v>100000</v>
      </c>
    </row>
    <row r="6">
      <c r="A6" s="2" t="inlineStr">
        <is>
          <t>Universe size</t>
        </is>
      </c>
      <c r="B6" t="n">
        <v>30</v>
      </c>
    </row>
    <row r="7">
      <c r="A7" s="2" t="inlineStr">
        <is>
          <t>Price convention</t>
        </is>
      </c>
      <c r="B7" t="inlineStr">
        <is>
          <t>last_price is the Friday closing price used for rebalance calculations.</t>
        </is>
      </c>
    </row>
    <row r="8">
      <c r="A8" s="2" t="inlineStr">
        <is>
          <t>Execution convention</t>
        </is>
      </c>
      <c r="B8" t="inlineStr">
        <is>
          <t>Signals are calculated after Friday close; implementation is intended at next Monday open.</t>
        </is>
      </c>
    </row>
    <row r="9">
      <c r="A9" s="2" t="inlineStr">
        <is>
          <t>User action</t>
        </is>
      </c>
      <c r="B9" t="inlineStr">
        <is>
          <t>Change Config!B5 to test a different starting capital.</t>
        </is>
      </c>
    </row>
  </sheetData>
  <dataValidations count="1">
    <dataValidation sqref="B5" showDropDown="0" showInputMessage="0" showErrorMessage="0" allowBlank="0" errorTitle="Invalid capital" error="Initial capital must be greater than zero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4" customWidth="1" min="4" max="4"/>
    <col width="22" customWidth="1" min="5" max="5"/>
    <col width="13" customWidth="1" min="6" max="6"/>
    <col width="16" customWidth="1" min="7" max="7"/>
    <col width="19" customWidth="1" min="8" max="8"/>
    <col width="16" customWidth="1" min="9" max="9"/>
    <col width="12" customWidth="1" min="10" max="10"/>
    <col width="30" customWidth="1" min="11" max="11"/>
    <col width="30" customWidth="1" min="12" max="12"/>
    <col width="17" customWidth="1" min="13" max="13"/>
  </cols>
  <sheetData>
    <row r="1">
      <c r="A1" s="4" t="inlineStr">
        <is>
          <t>Market</t>
        </is>
      </c>
      <c r="B1" s="4" t="inlineStr">
        <is>
          <t>WeekEnding</t>
        </is>
      </c>
      <c r="C1" s="4" t="inlineStr">
        <is>
          <t>Benchmark</t>
        </is>
      </c>
      <c r="D1" s="4" t="inlineStr">
        <is>
          <t>portfolio_start_value</t>
        </is>
      </c>
      <c r="E1" s="4" t="inlineStr">
        <is>
          <t>portfolio_end_value</t>
        </is>
      </c>
      <c r="F1" s="4" t="inlineStr">
        <is>
          <t>weekly_pnl</t>
        </is>
      </c>
      <c r="G1" s="4" t="inlineStr">
        <is>
          <t>weekly_return</t>
        </is>
      </c>
      <c r="H1" s="4" t="inlineStr">
        <is>
          <t>benchmark_return</t>
        </is>
      </c>
      <c r="I1" s="4" t="inlineStr">
        <is>
          <t>excess_return</t>
        </is>
      </c>
      <c r="J1" s="4" t="inlineStr">
        <is>
          <t>action</t>
        </is>
      </c>
      <c r="K1" s="4" t="inlineStr">
        <is>
          <t>in_tickers</t>
        </is>
      </c>
      <c r="L1" s="4" t="inlineStr">
        <is>
          <t>out_tickers</t>
        </is>
      </c>
      <c r="M1" s="4" t="inlineStr">
        <is>
          <t>selected_count</t>
        </is>
      </c>
    </row>
    <row r="2">
      <c r="A2" s="5" t="inlineStr">
        <is>
          <t>DJ30</t>
        </is>
      </c>
      <c r="B2" s="5" t="inlineStr">
        <is>
          <t>2026-06-19</t>
        </is>
      </c>
      <c r="C2" s="5" t="inlineStr">
        <is>
          <t>DIA</t>
        </is>
      </c>
      <c r="D2" s="6">
        <f>Rebalance_Audit!J32</f>
        <v/>
      </c>
      <c r="E2" s="6">
        <f>Rebalance_Audit!R32</f>
        <v/>
      </c>
      <c r="F2" s="6">
        <f>E2-D2</f>
        <v/>
      </c>
      <c r="G2" s="7">
        <f>IF(D2=0,0,F2/D2)</f>
        <v/>
      </c>
      <c r="H2" s="7" t="n">
        <v>0.0065</v>
      </c>
      <c r="I2" s="7">
        <f>G2-H2</f>
        <v/>
      </c>
      <c r="J2" s="5" t="inlineStr">
        <is>
          <t>initial</t>
        </is>
      </c>
      <c r="K2" s="5" t="inlineStr">
        <is>
          <t>AAPL|CAT|HON|KO|NKE</t>
        </is>
      </c>
      <c r="L2" s="5" t="inlineStr"/>
      <c r="M2" s="5" t="n">
        <v>5</v>
      </c>
    </row>
    <row r="3">
      <c r="A3" s="5" t="inlineStr">
        <is>
          <t>DJ30</t>
        </is>
      </c>
      <c r="B3" s="5" t="inlineStr">
        <is>
          <t>2026-06-26</t>
        </is>
      </c>
      <c r="C3" s="5" t="inlineStr">
        <is>
          <t>DIA</t>
        </is>
      </c>
      <c r="D3" s="6">
        <f>Rebalance_Audit!J63</f>
        <v/>
      </c>
      <c r="E3" s="6">
        <f>Rebalance_Audit!R63</f>
        <v/>
      </c>
      <c r="F3" s="6">
        <f>E3-D3</f>
        <v/>
      </c>
      <c r="G3" s="7">
        <f>IF(D3=0,0,F3/D3)</f>
        <v/>
      </c>
      <c r="H3" s="7" t="n">
        <v>0.01</v>
      </c>
      <c r="I3" s="7">
        <f>G3-H3</f>
        <v/>
      </c>
      <c r="J3" s="5" t="inlineStr">
        <is>
          <t>rebalance</t>
        </is>
      </c>
      <c r="K3" s="5" t="inlineStr">
        <is>
          <t>AMGN</t>
        </is>
      </c>
      <c r="L3" s="5" t="inlineStr">
        <is>
          <t>AAPL</t>
        </is>
      </c>
      <c r="M3" s="5" t="n">
        <v>5</v>
      </c>
    </row>
    <row r="4">
      <c r="A4" s="5" t="inlineStr">
        <is>
          <t>DJ30</t>
        </is>
      </c>
      <c r="B4" s="5" t="inlineStr">
        <is>
          <t>2026-07-03</t>
        </is>
      </c>
      <c r="C4" s="5" t="inlineStr">
        <is>
          <t>DIA</t>
        </is>
      </c>
      <c r="D4" s="6">
        <f>Rebalance_Audit!J94</f>
        <v/>
      </c>
      <c r="E4" s="6">
        <f>Rebalance_Audit!R94</f>
        <v/>
      </c>
      <c r="F4" s="6">
        <f>E4-D4</f>
        <v/>
      </c>
      <c r="G4" s="7">
        <f>IF(D4=0,0,F4/D4)</f>
        <v/>
      </c>
      <c r="H4" s="7" t="n">
        <v>-0.0042</v>
      </c>
      <c r="I4" s="7">
        <f>G4-H4</f>
        <v/>
      </c>
      <c r="J4" s="5" t="inlineStr">
        <is>
          <t>rebalance</t>
        </is>
      </c>
      <c r="K4" s="5" t="inlineStr">
        <is>
          <t>MSFT</t>
        </is>
      </c>
      <c r="L4" s="5" t="inlineStr">
        <is>
          <t>KO</t>
        </is>
      </c>
      <c r="M4" s="5" t="n">
        <v>5</v>
      </c>
    </row>
  </sheetData>
  <autoFilter ref="A1:M4"/>
  <conditionalFormatting sqref="F2:F4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2:G4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I2:I4">
    <cfRule type="cellIs" priority="5" operator="lessThan" dxfId="0">
      <formula>0</formula>
    </cfRule>
    <cfRule type="cellIs" priority="6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30" customWidth="1" min="5" max="5"/>
    <col width="12" customWidth="1" min="6" max="6"/>
    <col width="13" customWidth="1" min="7" max="7"/>
    <col width="18" customWidth="1" min="8" max="8"/>
    <col width="13" customWidth="1" min="9" max="9"/>
    <col width="15" customWidth="1" min="10" max="10"/>
    <col width="16" customWidth="1" min="11" max="11"/>
    <col width="12" customWidth="1" min="12" max="12"/>
    <col width="16" customWidth="1" min="13" max="13"/>
    <col width="15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19" customWidth="1" min="20" max="20"/>
    <col width="30" customWidth="1" min="21" max="21"/>
  </cols>
  <sheetData>
    <row r="1">
      <c r="A1" s="4" t="inlineStr">
        <is>
          <t>Market</t>
        </is>
      </c>
      <c r="B1" s="4" t="inlineStr">
        <is>
          <t>WeekEnding</t>
        </is>
      </c>
      <c r="C1" s="4" t="inlineStr">
        <is>
          <t>Benchmark</t>
        </is>
      </c>
      <c r="D1" s="4" t="inlineStr">
        <is>
          <t>Asset</t>
        </is>
      </c>
      <c r="E1" s="4" t="inlineStr">
        <is>
          <t>Company</t>
        </is>
      </c>
      <c r="F1" s="4" t="inlineStr">
        <is>
          <t>Sector</t>
        </is>
      </c>
      <c r="G1" s="4" t="inlineStr">
        <is>
          <t>last_price</t>
        </is>
      </c>
      <c r="H1" s="4" t="inlineStr">
        <is>
          <t>position_before</t>
        </is>
      </c>
      <c r="I1" s="4" t="inlineStr">
        <is>
          <t>qty_before</t>
        </is>
      </c>
      <c r="J1" s="4" t="inlineStr">
        <is>
          <t>value_before</t>
        </is>
      </c>
      <c r="K1" s="4" t="inlineStr">
        <is>
          <t>weight_before</t>
        </is>
      </c>
      <c r="L1" s="4" t="inlineStr">
        <is>
          <t>Status</t>
        </is>
      </c>
      <c r="M1" s="4" t="inlineStr">
        <is>
          <t>target_weight</t>
        </is>
      </c>
      <c r="N1" s="4" t="inlineStr">
        <is>
          <t>value_change</t>
        </is>
      </c>
      <c r="O1" s="4" t="inlineStr">
        <is>
          <t>qty_change</t>
        </is>
      </c>
      <c r="P1" s="4" t="inlineStr">
        <is>
          <t>position_after</t>
        </is>
      </c>
      <c r="Q1" s="4" t="inlineStr">
        <is>
          <t>qty_after</t>
        </is>
      </c>
      <c r="R1" s="4" t="inlineStr">
        <is>
          <t>value_after</t>
        </is>
      </c>
      <c r="S1" s="4" t="inlineStr">
        <is>
          <t>weight_after</t>
        </is>
      </c>
      <c r="T1" s="4" t="inlineStr">
        <is>
          <t>benchmark_return</t>
        </is>
      </c>
      <c r="U1" s="4" t="inlineStr">
        <is>
          <t>notes</t>
        </is>
      </c>
    </row>
    <row r="2">
      <c r="A2" s="5" t="inlineStr">
        <is>
          <t>DJ30</t>
        </is>
      </c>
      <c r="B2" s="5" t="inlineStr">
        <is>
          <t>2026-06-19</t>
        </is>
      </c>
      <c r="C2" s="5" t="inlineStr">
        <is>
          <t>DIA</t>
        </is>
      </c>
      <c r="D2" s="5" t="inlineStr">
        <is>
          <t>AAPL</t>
        </is>
      </c>
      <c r="E2" s="5" t="inlineStr">
        <is>
          <t>AAPL</t>
        </is>
      </c>
      <c r="F2" s="5" t="inlineStr">
        <is>
          <t>-</t>
        </is>
      </c>
      <c r="G2" s="6" t="n">
        <v>109.34</v>
      </c>
      <c r="H2" s="5" t="inlineStr">
        <is>
          <t>AAPL</t>
        </is>
      </c>
      <c r="I2" s="8">
        <f>IF(M2&gt;0,InitialCapital/5/G2,0)</f>
        <v/>
      </c>
      <c r="J2" s="6">
        <f>I2*G2</f>
        <v/>
      </c>
      <c r="K2" s="7">
        <f>IF($J$32=0,0,J2/$J$32)</f>
        <v/>
      </c>
      <c r="L2" s="5" t="inlineStr">
        <is>
          <t>SELECTED</t>
        </is>
      </c>
      <c r="M2" s="7" t="n">
        <v>0.2</v>
      </c>
      <c r="N2" s="6">
        <f>M2*$J$32-J2</f>
        <v/>
      </c>
      <c r="O2" s="8">
        <f>IF(G2=0,0,N2/G2)</f>
        <v/>
      </c>
      <c r="P2" s="5">
        <f>IF(M2&gt;0,D2,"")</f>
        <v/>
      </c>
      <c r="Q2" s="8">
        <f>I2+O2</f>
        <v/>
      </c>
      <c r="R2" s="6">
        <f>Q2*G2</f>
        <v/>
      </c>
      <c r="S2" s="7">
        <f>IF($R$32=0,0,R2/$R$32)</f>
        <v/>
      </c>
      <c r="T2" s="7" t="n">
        <v>0.0065</v>
      </c>
      <c r="U2" s="5" t="inlineStr">
        <is>
          <t>initial model portfolio</t>
        </is>
      </c>
    </row>
    <row r="3">
      <c r="A3" s="5" t="inlineStr">
        <is>
          <t>DJ30</t>
        </is>
      </c>
      <c r="B3" s="5" t="inlineStr">
        <is>
          <t>2026-06-19</t>
        </is>
      </c>
      <c r="C3" s="5" t="inlineStr">
        <is>
          <t>DIA</t>
        </is>
      </c>
      <c r="D3" s="5" t="inlineStr">
        <is>
          <t>AMGN</t>
        </is>
      </c>
      <c r="E3" s="5" t="inlineStr">
        <is>
          <t>AMGN</t>
        </is>
      </c>
      <c r="F3" s="5" t="inlineStr">
        <is>
          <t>-</t>
        </is>
      </c>
      <c r="G3" s="6" t="n">
        <v>99.59999999999999</v>
      </c>
      <c r="H3" s="5" t="inlineStr"/>
      <c r="I3" s="8">
        <f>IF(M3&gt;0,InitialCapital/5/G3,0)</f>
        <v/>
      </c>
      <c r="J3" s="6">
        <f>I3*G3</f>
        <v/>
      </c>
      <c r="K3" s="7">
        <f>IF($J$32=0,0,J3/$J$32)</f>
        <v/>
      </c>
      <c r="L3" s="5" t="inlineStr">
        <is>
          <t>WATCHLIST</t>
        </is>
      </c>
      <c r="M3" s="7" t="n">
        <v>0</v>
      </c>
      <c r="N3" s="6">
        <f>M3*$J$32-J3</f>
        <v/>
      </c>
      <c r="O3" s="8">
        <f>IF(G3=0,0,N3/G3)</f>
        <v/>
      </c>
      <c r="P3" s="5">
        <f>IF(M3&gt;0,D3,"")</f>
        <v/>
      </c>
      <c r="Q3" s="8">
        <f>I3+O3</f>
        <v/>
      </c>
      <c r="R3" s="6">
        <f>Q3*G3</f>
        <v/>
      </c>
      <c r="S3" s="7">
        <f>IF($R$32=0,0,R3/$R$32)</f>
        <v/>
      </c>
      <c r="T3" s="7" t="n">
        <v>0.0065</v>
      </c>
      <c r="U3" s="5" t="inlineStr">
        <is>
          <t>not in initial selection</t>
        </is>
      </c>
    </row>
    <row r="4">
      <c r="A4" s="5" t="inlineStr">
        <is>
          <t>DJ30</t>
        </is>
      </c>
      <c r="B4" s="5" t="inlineStr">
        <is>
          <t>2026-06-19</t>
        </is>
      </c>
      <c r="C4" s="5" t="inlineStr">
        <is>
          <t>DIA</t>
        </is>
      </c>
      <c r="D4" s="5" t="inlineStr">
        <is>
          <t>AMZN</t>
        </is>
      </c>
      <c r="E4" s="5" t="inlineStr">
        <is>
          <t>AMZN</t>
        </is>
      </c>
      <c r="F4" s="5" t="inlineStr">
        <is>
          <t>-</t>
        </is>
      </c>
      <c r="G4" s="6" t="n">
        <v>99.8</v>
      </c>
      <c r="H4" s="5" t="inlineStr"/>
      <c r="I4" s="8">
        <f>IF(M4&gt;0,InitialCapital/5/G4,0)</f>
        <v/>
      </c>
      <c r="J4" s="6">
        <f>I4*G4</f>
        <v/>
      </c>
      <c r="K4" s="7">
        <f>IF($J$32=0,0,J4/$J$32)</f>
        <v/>
      </c>
      <c r="L4" s="5" t="inlineStr">
        <is>
          <t>WATCHLIST</t>
        </is>
      </c>
      <c r="M4" s="7" t="n">
        <v>0</v>
      </c>
      <c r="N4" s="6">
        <f>M4*$J$32-J4</f>
        <v/>
      </c>
      <c r="O4" s="8">
        <f>IF(G4=0,0,N4/G4)</f>
        <v/>
      </c>
      <c r="P4" s="5">
        <f>IF(M4&gt;0,D4,"")</f>
        <v/>
      </c>
      <c r="Q4" s="8">
        <f>I4+O4</f>
        <v/>
      </c>
      <c r="R4" s="6">
        <f>Q4*G4</f>
        <v/>
      </c>
      <c r="S4" s="7">
        <f>IF($R$32=0,0,R4/$R$32)</f>
        <v/>
      </c>
      <c r="T4" s="7" t="n">
        <v>0.0065</v>
      </c>
      <c r="U4" s="5" t="inlineStr">
        <is>
          <t>not in initial selection</t>
        </is>
      </c>
    </row>
    <row r="5">
      <c r="A5" s="5" t="inlineStr">
        <is>
          <t>DJ30</t>
        </is>
      </c>
      <c r="B5" s="5" t="inlineStr">
        <is>
          <t>2026-06-19</t>
        </is>
      </c>
      <c r="C5" s="5" t="inlineStr">
        <is>
          <t>DIA</t>
        </is>
      </c>
      <c r="D5" s="5" t="inlineStr">
        <is>
          <t>AXP</t>
        </is>
      </c>
      <c r="E5" s="5" t="inlineStr">
        <is>
          <t>AXP</t>
        </is>
      </c>
      <c r="F5" s="5" t="inlineStr">
        <is>
          <t>-</t>
        </is>
      </c>
      <c r="G5" s="6" t="n">
        <v>100</v>
      </c>
      <c r="H5" s="5" t="inlineStr"/>
      <c r="I5" s="8">
        <f>IF(M5&gt;0,InitialCapital/5/G5,0)</f>
        <v/>
      </c>
      <c r="J5" s="6">
        <f>I5*G5</f>
        <v/>
      </c>
      <c r="K5" s="7">
        <f>IF($J$32=0,0,J5/$J$32)</f>
        <v/>
      </c>
      <c r="L5" s="5" t="inlineStr">
        <is>
          <t>WATCHLIST</t>
        </is>
      </c>
      <c r="M5" s="7" t="n">
        <v>0</v>
      </c>
      <c r="N5" s="6">
        <f>M5*$J$32-J5</f>
        <v/>
      </c>
      <c r="O5" s="8">
        <f>IF(G5=0,0,N5/G5)</f>
        <v/>
      </c>
      <c r="P5" s="5">
        <f>IF(M5&gt;0,D5,"")</f>
        <v/>
      </c>
      <c r="Q5" s="8">
        <f>I5+O5</f>
        <v/>
      </c>
      <c r="R5" s="6">
        <f>Q5*G5</f>
        <v/>
      </c>
      <c r="S5" s="7">
        <f>IF($R$32=0,0,R5/$R$32)</f>
        <v/>
      </c>
      <c r="T5" s="7" t="n">
        <v>0.0065</v>
      </c>
      <c r="U5" s="5" t="inlineStr">
        <is>
          <t>not in initial selection</t>
        </is>
      </c>
    </row>
    <row r="6">
      <c r="A6" s="5" t="inlineStr">
        <is>
          <t>DJ30</t>
        </is>
      </c>
      <c r="B6" s="5" t="inlineStr">
        <is>
          <t>2026-06-19</t>
        </is>
      </c>
      <c r="C6" s="5" t="inlineStr">
        <is>
          <t>DIA</t>
        </is>
      </c>
      <c r="D6" s="5" t="inlineStr">
        <is>
          <t>BA</t>
        </is>
      </c>
      <c r="E6" s="5" t="inlineStr">
        <is>
          <t>BA</t>
        </is>
      </c>
      <c r="F6" s="5" t="inlineStr">
        <is>
          <t>-</t>
        </is>
      </c>
      <c r="G6" s="6" t="n">
        <v>100.2</v>
      </c>
      <c r="H6" s="5" t="inlineStr"/>
      <c r="I6" s="8">
        <f>IF(M6&gt;0,InitialCapital/5/G6,0)</f>
        <v/>
      </c>
      <c r="J6" s="6">
        <f>I6*G6</f>
        <v/>
      </c>
      <c r="K6" s="7">
        <f>IF($J$32=0,0,J6/$J$32)</f>
        <v/>
      </c>
      <c r="L6" s="5" t="inlineStr">
        <is>
          <t>WATCHLIST</t>
        </is>
      </c>
      <c r="M6" s="7" t="n">
        <v>0</v>
      </c>
      <c r="N6" s="6">
        <f>M6*$J$32-J6</f>
        <v/>
      </c>
      <c r="O6" s="8">
        <f>IF(G6=0,0,N6/G6)</f>
        <v/>
      </c>
      <c r="P6" s="5">
        <f>IF(M6&gt;0,D6,"")</f>
        <v/>
      </c>
      <c r="Q6" s="8">
        <f>I6+O6</f>
        <v/>
      </c>
      <c r="R6" s="6">
        <f>Q6*G6</f>
        <v/>
      </c>
      <c r="S6" s="7">
        <f>IF($R$32=0,0,R6/$R$32)</f>
        <v/>
      </c>
      <c r="T6" s="7" t="n">
        <v>0.0065</v>
      </c>
      <c r="U6" s="5" t="inlineStr">
        <is>
          <t>not in initial selection</t>
        </is>
      </c>
    </row>
    <row r="7">
      <c r="A7" s="5" t="inlineStr">
        <is>
          <t>DJ30</t>
        </is>
      </c>
      <c r="B7" s="5" t="inlineStr">
        <is>
          <t>2026-06-19</t>
        </is>
      </c>
      <c r="C7" s="5" t="inlineStr">
        <is>
          <t>DIA</t>
        </is>
      </c>
      <c r="D7" s="5" t="inlineStr">
        <is>
          <t>CAT</t>
        </is>
      </c>
      <c r="E7" s="5" t="inlineStr">
        <is>
          <t>CAT</t>
        </is>
      </c>
      <c r="F7" s="5" t="inlineStr">
        <is>
          <t>-</t>
        </is>
      </c>
      <c r="G7" s="6" t="n">
        <v>90.36</v>
      </c>
      <c r="H7" s="5" t="inlineStr">
        <is>
          <t>CAT</t>
        </is>
      </c>
      <c r="I7" s="8">
        <f>IF(M7&gt;0,InitialCapital/5/G7,0)</f>
        <v/>
      </c>
      <c r="J7" s="6">
        <f>I7*G7</f>
        <v/>
      </c>
      <c r="K7" s="7">
        <f>IF($J$32=0,0,J7/$J$32)</f>
        <v/>
      </c>
      <c r="L7" s="5" t="inlineStr">
        <is>
          <t>SELECTED</t>
        </is>
      </c>
      <c r="M7" s="7" t="n">
        <v>0.2</v>
      </c>
      <c r="N7" s="6">
        <f>M7*$J$32-J7</f>
        <v/>
      </c>
      <c r="O7" s="8">
        <f>IF(G7=0,0,N7/G7)</f>
        <v/>
      </c>
      <c r="P7" s="5">
        <f>IF(M7&gt;0,D7,"")</f>
        <v/>
      </c>
      <c r="Q7" s="8">
        <f>I7+O7</f>
        <v/>
      </c>
      <c r="R7" s="6">
        <f>Q7*G7</f>
        <v/>
      </c>
      <c r="S7" s="7">
        <f>IF($R$32=0,0,R7/$R$32)</f>
        <v/>
      </c>
      <c r="T7" s="7" t="n">
        <v>0.0065</v>
      </c>
      <c r="U7" s="5" t="inlineStr">
        <is>
          <t>initial model portfolio</t>
        </is>
      </c>
    </row>
    <row r="8">
      <c r="A8" s="5" t="inlineStr">
        <is>
          <t>DJ30</t>
        </is>
      </c>
      <c r="B8" s="5" t="inlineStr">
        <is>
          <t>2026-06-19</t>
        </is>
      </c>
      <c r="C8" s="5" t="inlineStr">
        <is>
          <t>DIA</t>
        </is>
      </c>
      <c r="D8" s="5" t="inlineStr">
        <is>
          <t>CRM</t>
        </is>
      </c>
      <c r="E8" s="5" t="inlineStr">
        <is>
          <t>CRM</t>
        </is>
      </c>
      <c r="F8" s="5" t="inlineStr">
        <is>
          <t>-</t>
        </is>
      </c>
      <c r="G8" s="6" t="n">
        <v>100.6</v>
      </c>
      <c r="H8" s="5" t="inlineStr"/>
      <c r="I8" s="8">
        <f>IF(M8&gt;0,InitialCapital/5/G8,0)</f>
        <v/>
      </c>
      <c r="J8" s="6">
        <f>I8*G8</f>
        <v/>
      </c>
      <c r="K8" s="7">
        <f>IF($J$32=0,0,J8/$J$32)</f>
        <v/>
      </c>
      <c r="L8" s="5" t="inlineStr">
        <is>
          <t>WATCHLIST</t>
        </is>
      </c>
      <c r="M8" s="7" t="n">
        <v>0</v>
      </c>
      <c r="N8" s="6">
        <f>M8*$J$32-J8</f>
        <v/>
      </c>
      <c r="O8" s="8">
        <f>IF(G8=0,0,N8/G8)</f>
        <v/>
      </c>
      <c r="P8" s="5">
        <f>IF(M8&gt;0,D8,"")</f>
        <v/>
      </c>
      <c r="Q8" s="8">
        <f>I8+O8</f>
        <v/>
      </c>
      <c r="R8" s="6">
        <f>Q8*G8</f>
        <v/>
      </c>
      <c r="S8" s="7">
        <f>IF($R$32=0,0,R8/$R$32)</f>
        <v/>
      </c>
      <c r="T8" s="7" t="n">
        <v>0.0065</v>
      </c>
      <c r="U8" s="5" t="inlineStr">
        <is>
          <t>not in initial selection</t>
        </is>
      </c>
    </row>
    <row r="9">
      <c r="A9" s="5" t="inlineStr">
        <is>
          <t>DJ30</t>
        </is>
      </c>
      <c r="B9" s="5" t="inlineStr">
        <is>
          <t>2026-06-19</t>
        </is>
      </c>
      <c r="C9" s="5" t="inlineStr">
        <is>
          <t>DIA</t>
        </is>
      </c>
      <c r="D9" s="5" t="inlineStr">
        <is>
          <t>CSCO</t>
        </is>
      </c>
      <c r="E9" s="5" t="inlineStr">
        <is>
          <t>CSCO</t>
        </is>
      </c>
      <c r="F9" s="5" t="inlineStr">
        <is>
          <t>-</t>
        </is>
      </c>
      <c r="G9" s="6" t="n">
        <v>99.40000000000001</v>
      </c>
      <c r="H9" s="5" t="inlineStr"/>
      <c r="I9" s="8">
        <f>IF(M9&gt;0,InitialCapital/5/G9,0)</f>
        <v/>
      </c>
      <c r="J9" s="6">
        <f>I9*G9</f>
        <v/>
      </c>
      <c r="K9" s="7">
        <f>IF($J$32=0,0,J9/$J$32)</f>
        <v/>
      </c>
      <c r="L9" s="5" t="inlineStr">
        <is>
          <t>WATCHLIST</t>
        </is>
      </c>
      <c r="M9" s="7" t="n">
        <v>0</v>
      </c>
      <c r="N9" s="6">
        <f>M9*$J$32-J9</f>
        <v/>
      </c>
      <c r="O9" s="8">
        <f>IF(G9=0,0,N9/G9)</f>
        <v/>
      </c>
      <c r="P9" s="5">
        <f>IF(M9&gt;0,D9,"")</f>
        <v/>
      </c>
      <c r="Q9" s="8">
        <f>I9+O9</f>
        <v/>
      </c>
      <c r="R9" s="6">
        <f>Q9*G9</f>
        <v/>
      </c>
      <c r="S9" s="7">
        <f>IF($R$32=0,0,R9/$R$32)</f>
        <v/>
      </c>
      <c r="T9" s="7" t="n">
        <v>0.0065</v>
      </c>
      <c r="U9" s="5" t="inlineStr">
        <is>
          <t>not in initial selection</t>
        </is>
      </c>
    </row>
    <row r="10">
      <c r="A10" s="5" t="inlineStr">
        <is>
          <t>DJ30</t>
        </is>
      </c>
      <c r="B10" s="5" t="inlineStr">
        <is>
          <t>2026-06-19</t>
        </is>
      </c>
      <c r="C10" s="5" t="inlineStr">
        <is>
          <t>DIA</t>
        </is>
      </c>
      <c r="D10" s="5" t="inlineStr">
        <is>
          <t>CVX</t>
        </is>
      </c>
      <c r="E10" s="5" t="inlineStr">
        <is>
          <t>CVX</t>
        </is>
      </c>
      <c r="F10" s="5" t="inlineStr">
        <is>
          <t>-</t>
        </is>
      </c>
      <c r="G10" s="6" t="n">
        <v>99.59999999999999</v>
      </c>
      <c r="H10" s="5" t="inlineStr"/>
      <c r="I10" s="8">
        <f>IF(M10&gt;0,InitialCapital/5/G10,0)</f>
        <v/>
      </c>
      <c r="J10" s="6">
        <f>I10*G10</f>
        <v/>
      </c>
      <c r="K10" s="7">
        <f>IF($J$32=0,0,J10/$J$32)</f>
        <v/>
      </c>
      <c r="L10" s="5" t="inlineStr">
        <is>
          <t>WATCHLIST</t>
        </is>
      </c>
      <c r="M10" s="7" t="n">
        <v>0</v>
      </c>
      <c r="N10" s="6">
        <f>M10*$J$32-J10</f>
        <v/>
      </c>
      <c r="O10" s="8">
        <f>IF(G10=0,0,N10/G10)</f>
        <v/>
      </c>
      <c r="P10" s="5">
        <f>IF(M10&gt;0,D10,"")</f>
        <v/>
      </c>
      <c r="Q10" s="8">
        <f>I10+O10</f>
        <v/>
      </c>
      <c r="R10" s="6">
        <f>Q10*G10</f>
        <v/>
      </c>
      <c r="S10" s="7">
        <f>IF($R$32=0,0,R10/$R$32)</f>
        <v/>
      </c>
      <c r="T10" s="7" t="n">
        <v>0.0065</v>
      </c>
      <c r="U10" s="5" t="inlineStr">
        <is>
          <t>not in initial selection</t>
        </is>
      </c>
    </row>
    <row r="11">
      <c r="A11" s="5" t="inlineStr">
        <is>
          <t>DJ30</t>
        </is>
      </c>
      <c r="B11" s="5" t="inlineStr">
        <is>
          <t>2026-06-19</t>
        </is>
      </c>
      <c r="C11" s="5" t="inlineStr">
        <is>
          <t>DIA</t>
        </is>
      </c>
      <c r="D11" s="5" t="inlineStr">
        <is>
          <t>DIS</t>
        </is>
      </c>
      <c r="E11" s="5" t="inlineStr">
        <is>
          <t>DIS</t>
        </is>
      </c>
      <c r="F11" s="5" t="inlineStr">
        <is>
          <t>-</t>
        </is>
      </c>
      <c r="G11" s="6" t="n">
        <v>99.8</v>
      </c>
      <c r="H11" s="5" t="inlineStr"/>
      <c r="I11" s="8">
        <f>IF(M11&gt;0,InitialCapital/5/G11,0)</f>
        <v/>
      </c>
      <c r="J11" s="6">
        <f>I11*G11</f>
        <v/>
      </c>
      <c r="K11" s="7">
        <f>IF($J$32=0,0,J11/$J$32)</f>
        <v/>
      </c>
      <c r="L11" s="5" t="inlineStr">
        <is>
          <t>WATCHLIST</t>
        </is>
      </c>
      <c r="M11" s="7" t="n">
        <v>0</v>
      </c>
      <c r="N11" s="6">
        <f>M11*$J$32-J11</f>
        <v/>
      </c>
      <c r="O11" s="8">
        <f>IF(G11=0,0,N11/G11)</f>
        <v/>
      </c>
      <c r="P11" s="5">
        <f>IF(M11&gt;0,D11,"")</f>
        <v/>
      </c>
      <c r="Q11" s="8">
        <f>I11+O11</f>
        <v/>
      </c>
      <c r="R11" s="6">
        <f>Q11*G11</f>
        <v/>
      </c>
      <c r="S11" s="7">
        <f>IF($R$32=0,0,R11/$R$32)</f>
        <v/>
      </c>
      <c r="T11" s="7" t="n">
        <v>0.0065</v>
      </c>
      <c r="U11" s="5" t="inlineStr">
        <is>
          <t>not in initial selection</t>
        </is>
      </c>
    </row>
    <row r="12">
      <c r="A12" s="5" t="inlineStr">
        <is>
          <t>DJ30</t>
        </is>
      </c>
      <c r="B12" s="5" t="inlineStr">
        <is>
          <t>2026-06-19</t>
        </is>
      </c>
      <c r="C12" s="5" t="inlineStr">
        <is>
          <t>DIA</t>
        </is>
      </c>
      <c r="D12" s="5" t="inlineStr">
        <is>
          <t>GS</t>
        </is>
      </c>
      <c r="E12" s="5" t="inlineStr">
        <is>
          <t>GS</t>
        </is>
      </c>
      <c r="F12" s="5" t="inlineStr">
        <is>
          <t>-</t>
        </is>
      </c>
      <c r="G12" s="6" t="n">
        <v>100</v>
      </c>
      <c r="H12" s="5" t="inlineStr"/>
      <c r="I12" s="8">
        <f>IF(M12&gt;0,InitialCapital/5/G12,0)</f>
        <v/>
      </c>
      <c r="J12" s="6">
        <f>I12*G12</f>
        <v/>
      </c>
      <c r="K12" s="7">
        <f>IF($J$32=0,0,J12/$J$32)</f>
        <v/>
      </c>
      <c r="L12" s="5" t="inlineStr">
        <is>
          <t>REJECTED</t>
        </is>
      </c>
      <c r="M12" s="7" t="n">
        <v>0</v>
      </c>
      <c r="N12" s="6">
        <f>M12*$J$32-J12</f>
        <v/>
      </c>
      <c r="O12" s="8">
        <f>IF(G12=0,0,N12/G12)</f>
        <v/>
      </c>
      <c r="P12" s="5">
        <f>IF(M12&gt;0,D12,"")</f>
        <v/>
      </c>
      <c r="Q12" s="8">
        <f>I12+O12</f>
        <v/>
      </c>
      <c r="R12" s="6">
        <f>Q12*G12</f>
        <v/>
      </c>
      <c r="S12" s="7">
        <f>IF($R$32=0,0,R12/$R$32)</f>
        <v/>
      </c>
      <c r="T12" s="7" t="n">
        <v>0.0065</v>
      </c>
      <c r="U12" s="5" t="inlineStr">
        <is>
          <t>not in initial selection</t>
        </is>
      </c>
    </row>
    <row r="13">
      <c r="A13" s="5" t="inlineStr">
        <is>
          <t>DJ30</t>
        </is>
      </c>
      <c r="B13" s="5" t="inlineStr">
        <is>
          <t>2026-06-19</t>
        </is>
      </c>
      <c r="C13" s="5" t="inlineStr">
        <is>
          <t>DIA</t>
        </is>
      </c>
      <c r="D13" s="5" t="inlineStr">
        <is>
          <t>HD</t>
        </is>
      </c>
      <c r="E13" s="5" t="inlineStr">
        <is>
          <t>HD</t>
        </is>
      </c>
      <c r="F13" s="5" t="inlineStr">
        <is>
          <t>-</t>
        </is>
      </c>
      <c r="G13" s="6" t="n">
        <v>100.2</v>
      </c>
      <c r="H13" s="5" t="inlineStr"/>
      <c r="I13" s="8">
        <f>IF(M13&gt;0,InitialCapital/5/G13,0)</f>
        <v/>
      </c>
      <c r="J13" s="6">
        <f>I13*G13</f>
        <v/>
      </c>
      <c r="K13" s="7">
        <f>IF($J$32=0,0,J13/$J$32)</f>
        <v/>
      </c>
      <c r="L13" s="5" t="inlineStr">
        <is>
          <t>REJECTED</t>
        </is>
      </c>
      <c r="M13" s="7" t="n">
        <v>0</v>
      </c>
      <c r="N13" s="6">
        <f>M13*$J$32-J13</f>
        <v/>
      </c>
      <c r="O13" s="8">
        <f>IF(G13=0,0,N13/G13)</f>
        <v/>
      </c>
      <c r="P13" s="5">
        <f>IF(M13&gt;0,D13,"")</f>
        <v/>
      </c>
      <c r="Q13" s="8">
        <f>I13+O13</f>
        <v/>
      </c>
      <c r="R13" s="6">
        <f>Q13*G13</f>
        <v/>
      </c>
      <c r="S13" s="7">
        <f>IF($R$32=0,0,R13/$R$32)</f>
        <v/>
      </c>
      <c r="T13" s="7" t="n">
        <v>0.0065</v>
      </c>
      <c r="U13" s="5" t="inlineStr">
        <is>
          <t>not in initial selection</t>
        </is>
      </c>
    </row>
    <row r="14">
      <c r="A14" s="5" t="inlineStr">
        <is>
          <t>DJ30</t>
        </is>
      </c>
      <c r="B14" s="5" t="inlineStr">
        <is>
          <t>2026-06-19</t>
        </is>
      </c>
      <c r="C14" s="5" t="inlineStr">
        <is>
          <t>DIA</t>
        </is>
      </c>
      <c r="D14" s="5" t="inlineStr">
        <is>
          <t>HON</t>
        </is>
      </c>
      <c r="E14" s="5" t="inlineStr">
        <is>
          <t>HON</t>
        </is>
      </c>
      <c r="F14" s="5" t="inlineStr">
        <is>
          <t>-</t>
        </is>
      </c>
      <c r="G14" s="6" t="n">
        <v>102.41</v>
      </c>
      <c r="H14" s="5" t="inlineStr">
        <is>
          <t>HON</t>
        </is>
      </c>
      <c r="I14" s="8">
        <f>IF(M14&gt;0,InitialCapital/5/G14,0)</f>
        <v/>
      </c>
      <c r="J14" s="6">
        <f>I14*G14</f>
        <v/>
      </c>
      <c r="K14" s="7">
        <f>IF($J$32=0,0,J14/$J$32)</f>
        <v/>
      </c>
      <c r="L14" s="5" t="inlineStr">
        <is>
          <t>SELECTED</t>
        </is>
      </c>
      <c r="M14" s="7" t="n">
        <v>0.2</v>
      </c>
      <c r="N14" s="6">
        <f>M14*$J$32-J14</f>
        <v/>
      </c>
      <c r="O14" s="8">
        <f>IF(G14=0,0,N14/G14)</f>
        <v/>
      </c>
      <c r="P14" s="5">
        <f>IF(M14&gt;0,D14,"")</f>
        <v/>
      </c>
      <c r="Q14" s="8">
        <f>I14+O14</f>
        <v/>
      </c>
      <c r="R14" s="6">
        <f>Q14*G14</f>
        <v/>
      </c>
      <c r="S14" s="7">
        <f>IF($R$32=0,0,R14/$R$32)</f>
        <v/>
      </c>
      <c r="T14" s="7" t="n">
        <v>0.0065</v>
      </c>
      <c r="U14" s="5" t="inlineStr">
        <is>
          <t>initial model portfolio</t>
        </is>
      </c>
    </row>
    <row r="15">
      <c r="A15" s="5" t="inlineStr">
        <is>
          <t>DJ30</t>
        </is>
      </c>
      <c r="B15" s="5" t="inlineStr">
        <is>
          <t>2026-06-19</t>
        </is>
      </c>
      <c r="C15" s="5" t="inlineStr">
        <is>
          <t>DIA</t>
        </is>
      </c>
      <c r="D15" s="5" t="inlineStr">
        <is>
          <t>IBM</t>
        </is>
      </c>
      <c r="E15" s="5" t="inlineStr">
        <is>
          <t>IBM</t>
        </is>
      </c>
      <c r="F15" s="5" t="inlineStr">
        <is>
          <t>-</t>
        </is>
      </c>
      <c r="G15" s="6" t="n">
        <v>100.6</v>
      </c>
      <c r="H15" s="5" t="inlineStr"/>
      <c r="I15" s="8">
        <f>IF(M15&gt;0,InitialCapital/5/G15,0)</f>
        <v/>
      </c>
      <c r="J15" s="6">
        <f>I15*G15</f>
        <v/>
      </c>
      <c r="K15" s="7">
        <f>IF($J$32=0,0,J15/$J$32)</f>
        <v/>
      </c>
      <c r="L15" s="5" t="inlineStr">
        <is>
          <t>REJECTED</t>
        </is>
      </c>
      <c r="M15" s="7" t="n">
        <v>0</v>
      </c>
      <c r="N15" s="6">
        <f>M15*$J$32-J15</f>
        <v/>
      </c>
      <c r="O15" s="8">
        <f>IF(G15=0,0,N15/G15)</f>
        <v/>
      </c>
      <c r="P15" s="5">
        <f>IF(M15&gt;0,D15,"")</f>
        <v/>
      </c>
      <c r="Q15" s="8">
        <f>I15+O15</f>
        <v/>
      </c>
      <c r="R15" s="6">
        <f>Q15*G15</f>
        <v/>
      </c>
      <c r="S15" s="7">
        <f>IF($R$32=0,0,R15/$R$32)</f>
        <v/>
      </c>
      <c r="T15" s="7" t="n">
        <v>0.0065</v>
      </c>
      <c r="U15" s="5" t="inlineStr">
        <is>
          <t>not in initial selection</t>
        </is>
      </c>
    </row>
    <row r="16">
      <c r="A16" s="5" t="inlineStr">
        <is>
          <t>DJ30</t>
        </is>
      </c>
      <c r="B16" s="5" t="inlineStr">
        <is>
          <t>2026-06-19</t>
        </is>
      </c>
      <c r="C16" s="5" t="inlineStr">
        <is>
          <t>DIA</t>
        </is>
      </c>
      <c r="D16" s="5" t="inlineStr">
        <is>
          <t>JNJ</t>
        </is>
      </c>
      <c r="E16" s="5" t="inlineStr">
        <is>
          <t>JNJ</t>
        </is>
      </c>
      <c r="F16" s="5" t="inlineStr">
        <is>
          <t>-</t>
        </is>
      </c>
      <c r="G16" s="6" t="n">
        <v>99.40000000000001</v>
      </c>
      <c r="H16" s="5" t="inlineStr"/>
      <c r="I16" s="8">
        <f>IF(M16&gt;0,InitialCapital/5/G16,0)</f>
        <v/>
      </c>
      <c r="J16" s="6">
        <f>I16*G16</f>
        <v/>
      </c>
      <c r="K16" s="7">
        <f>IF($J$32=0,0,J16/$J$32)</f>
        <v/>
      </c>
      <c r="L16" s="5" t="inlineStr">
        <is>
          <t>REJECTED</t>
        </is>
      </c>
      <c r="M16" s="7" t="n">
        <v>0</v>
      </c>
      <c r="N16" s="6">
        <f>M16*$J$32-J16</f>
        <v/>
      </c>
      <c r="O16" s="8">
        <f>IF(G16=0,0,N16/G16)</f>
        <v/>
      </c>
      <c r="P16" s="5">
        <f>IF(M16&gt;0,D16,"")</f>
        <v/>
      </c>
      <c r="Q16" s="8">
        <f>I16+O16</f>
        <v/>
      </c>
      <c r="R16" s="6">
        <f>Q16*G16</f>
        <v/>
      </c>
      <c r="S16" s="7">
        <f>IF($R$32=0,0,R16/$R$32)</f>
        <v/>
      </c>
      <c r="T16" s="7" t="n">
        <v>0.0065</v>
      </c>
      <c r="U16" s="5" t="inlineStr">
        <is>
          <t>not in initial selection</t>
        </is>
      </c>
    </row>
    <row r="17">
      <c r="A17" s="5" t="inlineStr">
        <is>
          <t>DJ30</t>
        </is>
      </c>
      <c r="B17" s="5" t="inlineStr">
        <is>
          <t>2026-06-19</t>
        </is>
      </c>
      <c r="C17" s="5" t="inlineStr">
        <is>
          <t>DIA</t>
        </is>
      </c>
      <c r="D17" s="5" t="inlineStr">
        <is>
          <t>JPM</t>
        </is>
      </c>
      <c r="E17" s="5" t="inlineStr">
        <is>
          <t>JPM</t>
        </is>
      </c>
      <c r="F17" s="5" t="inlineStr">
        <is>
          <t>-</t>
        </is>
      </c>
      <c r="G17" s="6" t="n">
        <v>99.59999999999999</v>
      </c>
      <c r="H17" s="5" t="inlineStr"/>
      <c r="I17" s="8">
        <f>IF(M17&gt;0,InitialCapital/5/G17,0)</f>
        <v/>
      </c>
      <c r="J17" s="6">
        <f>I17*G17</f>
        <v/>
      </c>
      <c r="K17" s="7">
        <f>IF($J$32=0,0,J17/$J$32)</f>
        <v/>
      </c>
      <c r="L17" s="5" t="inlineStr">
        <is>
          <t>REJECTED</t>
        </is>
      </c>
      <c r="M17" s="7" t="n">
        <v>0</v>
      </c>
      <c r="N17" s="6">
        <f>M17*$J$32-J17</f>
        <v/>
      </c>
      <c r="O17" s="8">
        <f>IF(G17=0,0,N17/G17)</f>
        <v/>
      </c>
      <c r="P17" s="5">
        <f>IF(M17&gt;0,D17,"")</f>
        <v/>
      </c>
      <c r="Q17" s="8">
        <f>I17+O17</f>
        <v/>
      </c>
      <c r="R17" s="6">
        <f>Q17*G17</f>
        <v/>
      </c>
      <c r="S17" s="7">
        <f>IF($R$32=0,0,R17/$R$32)</f>
        <v/>
      </c>
      <c r="T17" s="7" t="n">
        <v>0.0065</v>
      </c>
      <c r="U17" s="5" t="inlineStr">
        <is>
          <t>not in initial selection</t>
        </is>
      </c>
    </row>
    <row r="18">
      <c r="A18" s="5" t="inlineStr">
        <is>
          <t>DJ30</t>
        </is>
      </c>
      <c r="B18" s="5" t="inlineStr">
        <is>
          <t>2026-06-19</t>
        </is>
      </c>
      <c r="C18" s="5" t="inlineStr">
        <is>
          <t>DIA</t>
        </is>
      </c>
      <c r="D18" s="5" t="inlineStr">
        <is>
          <t>KO</t>
        </is>
      </c>
      <c r="E18" s="5" t="inlineStr">
        <is>
          <t>KO</t>
        </is>
      </c>
      <c r="F18" s="5" t="inlineStr">
        <is>
          <t>-</t>
        </is>
      </c>
      <c r="G18" s="6" t="n">
        <v>79.84</v>
      </c>
      <c r="H18" s="5" t="inlineStr">
        <is>
          <t>KO</t>
        </is>
      </c>
      <c r="I18" s="8">
        <f>IF(M18&gt;0,InitialCapital/5/G18,0)</f>
        <v/>
      </c>
      <c r="J18" s="6">
        <f>I18*G18</f>
        <v/>
      </c>
      <c r="K18" s="7">
        <f>IF($J$32=0,0,J18/$J$32)</f>
        <v/>
      </c>
      <c r="L18" s="5" t="inlineStr">
        <is>
          <t>SELECTED</t>
        </is>
      </c>
      <c r="M18" s="7" t="n">
        <v>0.2</v>
      </c>
      <c r="N18" s="6">
        <f>M18*$J$32-J18</f>
        <v/>
      </c>
      <c r="O18" s="8">
        <f>IF(G18=0,0,N18/G18)</f>
        <v/>
      </c>
      <c r="P18" s="5">
        <f>IF(M18&gt;0,D18,"")</f>
        <v/>
      </c>
      <c r="Q18" s="8">
        <f>I18+O18</f>
        <v/>
      </c>
      <c r="R18" s="6">
        <f>Q18*G18</f>
        <v/>
      </c>
      <c r="S18" s="7">
        <f>IF($R$32=0,0,R18/$R$32)</f>
        <v/>
      </c>
      <c r="T18" s="7" t="n">
        <v>0.0065</v>
      </c>
      <c r="U18" s="5" t="inlineStr">
        <is>
          <t>initial model portfolio</t>
        </is>
      </c>
    </row>
    <row r="19">
      <c r="A19" s="5" t="inlineStr">
        <is>
          <t>DJ30</t>
        </is>
      </c>
      <c r="B19" s="5" t="inlineStr">
        <is>
          <t>2026-06-19</t>
        </is>
      </c>
      <c r="C19" s="5" t="inlineStr">
        <is>
          <t>DIA</t>
        </is>
      </c>
      <c r="D19" s="5" t="inlineStr">
        <is>
          <t>MCD</t>
        </is>
      </c>
      <c r="E19" s="5" t="inlineStr">
        <is>
          <t>MCD</t>
        </is>
      </c>
      <c r="F19" s="5" t="inlineStr">
        <is>
          <t>-</t>
        </is>
      </c>
      <c r="G19" s="6" t="n">
        <v>100</v>
      </c>
      <c r="H19" s="5" t="inlineStr"/>
      <c r="I19" s="8">
        <f>IF(M19&gt;0,InitialCapital/5/G19,0)</f>
        <v/>
      </c>
      <c r="J19" s="6">
        <f>I19*G19</f>
        <v/>
      </c>
      <c r="K19" s="7">
        <f>IF($J$32=0,0,J19/$J$32)</f>
        <v/>
      </c>
      <c r="L19" s="5" t="inlineStr">
        <is>
          <t>REJECTED</t>
        </is>
      </c>
      <c r="M19" s="7" t="n">
        <v>0</v>
      </c>
      <c r="N19" s="6">
        <f>M19*$J$32-J19</f>
        <v/>
      </c>
      <c r="O19" s="8">
        <f>IF(G19=0,0,N19/G19)</f>
        <v/>
      </c>
      <c r="P19" s="5">
        <f>IF(M19&gt;0,D19,"")</f>
        <v/>
      </c>
      <c r="Q19" s="8">
        <f>I19+O19</f>
        <v/>
      </c>
      <c r="R19" s="6">
        <f>Q19*G19</f>
        <v/>
      </c>
      <c r="S19" s="7">
        <f>IF($R$32=0,0,R19/$R$32)</f>
        <v/>
      </c>
      <c r="T19" s="7" t="n">
        <v>0.0065</v>
      </c>
      <c r="U19" s="5" t="inlineStr">
        <is>
          <t>not in initial selection</t>
        </is>
      </c>
    </row>
    <row r="20">
      <c r="A20" s="5" t="inlineStr">
        <is>
          <t>DJ30</t>
        </is>
      </c>
      <c r="B20" s="5" t="inlineStr">
        <is>
          <t>2026-06-19</t>
        </is>
      </c>
      <c r="C20" s="5" t="inlineStr">
        <is>
          <t>DIA</t>
        </is>
      </c>
      <c r="D20" s="5" t="inlineStr">
        <is>
          <t>MMM</t>
        </is>
      </c>
      <c r="E20" s="5" t="inlineStr">
        <is>
          <t>MMM</t>
        </is>
      </c>
      <c r="F20" s="5" t="inlineStr">
        <is>
          <t>-</t>
        </is>
      </c>
      <c r="G20" s="6" t="n">
        <v>100.2</v>
      </c>
      <c r="H20" s="5" t="inlineStr"/>
      <c r="I20" s="8">
        <f>IF(M20&gt;0,InitialCapital/5/G20,0)</f>
        <v/>
      </c>
      <c r="J20" s="6">
        <f>I20*G20</f>
        <v/>
      </c>
      <c r="K20" s="7">
        <f>IF($J$32=0,0,J20/$J$32)</f>
        <v/>
      </c>
      <c r="L20" s="5" t="inlineStr">
        <is>
          <t>REJECTED</t>
        </is>
      </c>
      <c r="M20" s="7" t="n">
        <v>0</v>
      </c>
      <c r="N20" s="6">
        <f>M20*$J$32-J20</f>
        <v/>
      </c>
      <c r="O20" s="8">
        <f>IF(G20=0,0,N20/G20)</f>
        <v/>
      </c>
      <c r="P20" s="5">
        <f>IF(M20&gt;0,D20,"")</f>
        <v/>
      </c>
      <c r="Q20" s="8">
        <f>I20+O20</f>
        <v/>
      </c>
      <c r="R20" s="6">
        <f>Q20*G20</f>
        <v/>
      </c>
      <c r="S20" s="7">
        <f>IF($R$32=0,0,R20/$R$32)</f>
        <v/>
      </c>
      <c r="T20" s="7" t="n">
        <v>0.0065</v>
      </c>
      <c r="U20" s="5" t="inlineStr">
        <is>
          <t>not in initial selection</t>
        </is>
      </c>
    </row>
    <row r="21">
      <c r="A21" s="5" t="inlineStr">
        <is>
          <t>DJ30</t>
        </is>
      </c>
      <c r="B21" s="5" t="inlineStr">
        <is>
          <t>2026-06-19</t>
        </is>
      </c>
      <c r="C21" s="5" t="inlineStr">
        <is>
          <t>DIA</t>
        </is>
      </c>
      <c r="D21" s="5" t="inlineStr">
        <is>
          <t>MRK</t>
        </is>
      </c>
      <c r="E21" s="5" t="inlineStr">
        <is>
          <t>MRK</t>
        </is>
      </c>
      <c r="F21" s="5" t="inlineStr">
        <is>
          <t>-</t>
        </is>
      </c>
      <c r="G21" s="6" t="n">
        <v>100.4</v>
      </c>
      <c r="H21" s="5" t="inlineStr"/>
      <c r="I21" s="8">
        <f>IF(M21&gt;0,InitialCapital/5/G21,0)</f>
        <v/>
      </c>
      <c r="J21" s="6">
        <f>I21*G21</f>
        <v/>
      </c>
      <c r="K21" s="7">
        <f>IF($J$32=0,0,J21/$J$32)</f>
        <v/>
      </c>
      <c r="L21" s="5" t="inlineStr">
        <is>
          <t>REJECTED</t>
        </is>
      </c>
      <c r="M21" s="7" t="n">
        <v>0</v>
      </c>
      <c r="N21" s="6">
        <f>M21*$J$32-J21</f>
        <v/>
      </c>
      <c r="O21" s="8">
        <f>IF(G21=0,0,N21/G21)</f>
        <v/>
      </c>
      <c r="P21" s="5">
        <f>IF(M21&gt;0,D21,"")</f>
        <v/>
      </c>
      <c r="Q21" s="8">
        <f>I21+O21</f>
        <v/>
      </c>
      <c r="R21" s="6">
        <f>Q21*G21</f>
        <v/>
      </c>
      <c r="S21" s="7">
        <f>IF($R$32=0,0,R21/$R$32)</f>
        <v/>
      </c>
      <c r="T21" s="7" t="n">
        <v>0.0065</v>
      </c>
      <c r="U21" s="5" t="inlineStr">
        <is>
          <t>not in initial selection</t>
        </is>
      </c>
    </row>
    <row r="22">
      <c r="A22" s="5" t="inlineStr">
        <is>
          <t>DJ30</t>
        </is>
      </c>
      <c r="B22" s="5" t="inlineStr">
        <is>
          <t>2026-06-19</t>
        </is>
      </c>
      <c r="C22" s="5" t="inlineStr">
        <is>
          <t>DIA</t>
        </is>
      </c>
      <c r="D22" s="5" t="inlineStr">
        <is>
          <t>MSFT</t>
        </is>
      </c>
      <c r="E22" s="5" t="inlineStr">
        <is>
          <t>MSFT</t>
        </is>
      </c>
      <c r="F22" s="5" t="inlineStr">
        <is>
          <t>-</t>
        </is>
      </c>
      <c r="G22" s="6" t="n">
        <v>100.6</v>
      </c>
      <c r="H22" s="5" t="inlineStr"/>
      <c r="I22" s="8">
        <f>IF(M22&gt;0,InitialCapital/5/G22,0)</f>
        <v/>
      </c>
      <c r="J22" s="6">
        <f>I22*G22</f>
        <v/>
      </c>
      <c r="K22" s="7">
        <f>IF($J$32=0,0,J22/$J$32)</f>
        <v/>
      </c>
      <c r="L22" s="5" t="inlineStr">
        <is>
          <t>REJECTED</t>
        </is>
      </c>
      <c r="M22" s="7" t="n">
        <v>0</v>
      </c>
      <c r="N22" s="6">
        <f>M22*$J$32-J22</f>
        <v/>
      </c>
      <c r="O22" s="8">
        <f>IF(G22=0,0,N22/G22)</f>
        <v/>
      </c>
      <c r="P22" s="5">
        <f>IF(M22&gt;0,D22,"")</f>
        <v/>
      </c>
      <c r="Q22" s="8">
        <f>I22+O22</f>
        <v/>
      </c>
      <c r="R22" s="6">
        <f>Q22*G22</f>
        <v/>
      </c>
      <c r="S22" s="7">
        <f>IF($R$32=0,0,R22/$R$32)</f>
        <v/>
      </c>
      <c r="T22" s="7" t="n">
        <v>0.0065</v>
      </c>
      <c r="U22" s="5" t="inlineStr">
        <is>
          <t>not in initial selection</t>
        </is>
      </c>
    </row>
    <row r="23">
      <c r="A23" s="5" t="inlineStr">
        <is>
          <t>DJ30</t>
        </is>
      </c>
      <c r="B23" s="5" t="inlineStr">
        <is>
          <t>2026-06-19</t>
        </is>
      </c>
      <c r="C23" s="5" t="inlineStr">
        <is>
          <t>DIA</t>
        </is>
      </c>
      <c r="D23" s="5" t="inlineStr">
        <is>
          <t>NKE</t>
        </is>
      </c>
      <c r="E23" s="5" t="inlineStr">
        <is>
          <t>NKE</t>
        </is>
      </c>
      <c r="F23" s="5" t="inlineStr">
        <is>
          <t>-</t>
        </is>
      </c>
      <c r="G23" s="6" t="n">
        <v>99.40000000000001</v>
      </c>
      <c r="H23" s="5" t="inlineStr">
        <is>
          <t>NKE</t>
        </is>
      </c>
      <c r="I23" s="8">
        <f>IF(M23&gt;0,InitialCapital/5/G23,0)</f>
        <v/>
      </c>
      <c r="J23" s="6">
        <f>I23*G23</f>
        <v/>
      </c>
      <c r="K23" s="7">
        <f>IF($J$32=0,0,J23/$J$32)</f>
        <v/>
      </c>
      <c r="L23" s="5" t="inlineStr">
        <is>
          <t>SELECTED</t>
        </is>
      </c>
      <c r="M23" s="7" t="n">
        <v>0.2</v>
      </c>
      <c r="N23" s="6">
        <f>M23*$J$32-J23</f>
        <v/>
      </c>
      <c r="O23" s="8">
        <f>IF(G23=0,0,N23/G23)</f>
        <v/>
      </c>
      <c r="P23" s="5">
        <f>IF(M23&gt;0,D23,"")</f>
        <v/>
      </c>
      <c r="Q23" s="8">
        <f>I23+O23</f>
        <v/>
      </c>
      <c r="R23" s="6">
        <f>Q23*G23</f>
        <v/>
      </c>
      <c r="S23" s="7">
        <f>IF($R$32=0,0,R23/$R$32)</f>
        <v/>
      </c>
      <c r="T23" s="7" t="n">
        <v>0.0065</v>
      </c>
      <c r="U23" s="5" t="inlineStr">
        <is>
          <t>initial model portfolio</t>
        </is>
      </c>
    </row>
    <row r="24">
      <c r="A24" s="5" t="inlineStr">
        <is>
          <t>DJ30</t>
        </is>
      </c>
      <c r="B24" s="5" t="inlineStr">
        <is>
          <t>2026-06-19</t>
        </is>
      </c>
      <c r="C24" s="5" t="inlineStr">
        <is>
          <t>DIA</t>
        </is>
      </c>
      <c r="D24" s="5" t="inlineStr">
        <is>
          <t>NVDA</t>
        </is>
      </c>
      <c r="E24" s="5" t="inlineStr">
        <is>
          <t>NVDA</t>
        </is>
      </c>
      <c r="F24" s="5" t="inlineStr">
        <is>
          <t>-</t>
        </is>
      </c>
      <c r="G24" s="6" t="n">
        <v>99.59999999999999</v>
      </c>
      <c r="H24" s="5" t="inlineStr"/>
      <c r="I24" s="8">
        <f>IF(M24&gt;0,InitialCapital/5/G24,0)</f>
        <v/>
      </c>
      <c r="J24" s="6">
        <f>I24*G24</f>
        <v/>
      </c>
      <c r="K24" s="7">
        <f>IF($J$32=0,0,J24/$J$32)</f>
        <v/>
      </c>
      <c r="L24" s="5" t="inlineStr">
        <is>
          <t>REJECTED</t>
        </is>
      </c>
      <c r="M24" s="7" t="n">
        <v>0</v>
      </c>
      <c r="N24" s="6">
        <f>M24*$J$32-J24</f>
        <v/>
      </c>
      <c r="O24" s="8">
        <f>IF(G24=0,0,N24/G24)</f>
        <v/>
      </c>
      <c r="P24" s="5">
        <f>IF(M24&gt;0,D24,"")</f>
        <v/>
      </c>
      <c r="Q24" s="8">
        <f>I24+O24</f>
        <v/>
      </c>
      <c r="R24" s="6">
        <f>Q24*G24</f>
        <v/>
      </c>
      <c r="S24" s="7">
        <f>IF($R$32=0,0,R24/$R$32)</f>
        <v/>
      </c>
      <c r="T24" s="7" t="n">
        <v>0.0065</v>
      </c>
      <c r="U24" s="5" t="inlineStr">
        <is>
          <t>not in initial selection</t>
        </is>
      </c>
    </row>
    <row r="25">
      <c r="A25" s="5" t="inlineStr">
        <is>
          <t>DJ30</t>
        </is>
      </c>
      <c r="B25" s="5" t="inlineStr">
        <is>
          <t>2026-06-19</t>
        </is>
      </c>
      <c r="C25" s="5" t="inlineStr">
        <is>
          <t>DIA</t>
        </is>
      </c>
      <c r="D25" s="5" t="inlineStr">
        <is>
          <t>PG</t>
        </is>
      </c>
      <c r="E25" s="5" t="inlineStr">
        <is>
          <t>PG</t>
        </is>
      </c>
      <c r="F25" s="5" t="inlineStr">
        <is>
          <t>-</t>
        </is>
      </c>
      <c r="G25" s="6" t="n">
        <v>99.8</v>
      </c>
      <c r="H25" s="5" t="inlineStr"/>
      <c r="I25" s="8">
        <f>IF(M25&gt;0,InitialCapital/5/G25,0)</f>
        <v/>
      </c>
      <c r="J25" s="6">
        <f>I25*G25</f>
        <v/>
      </c>
      <c r="K25" s="7">
        <f>IF($J$32=0,0,J25/$J$32)</f>
        <v/>
      </c>
      <c r="L25" s="5" t="inlineStr">
        <is>
          <t>REJECTED</t>
        </is>
      </c>
      <c r="M25" s="7" t="n">
        <v>0</v>
      </c>
      <c r="N25" s="6">
        <f>M25*$J$32-J25</f>
        <v/>
      </c>
      <c r="O25" s="8">
        <f>IF(G25=0,0,N25/G25)</f>
        <v/>
      </c>
      <c r="P25" s="5">
        <f>IF(M25&gt;0,D25,"")</f>
        <v/>
      </c>
      <c r="Q25" s="8">
        <f>I25+O25</f>
        <v/>
      </c>
      <c r="R25" s="6">
        <f>Q25*G25</f>
        <v/>
      </c>
      <c r="S25" s="7">
        <f>IF($R$32=0,0,R25/$R$32)</f>
        <v/>
      </c>
      <c r="T25" s="7" t="n">
        <v>0.0065</v>
      </c>
      <c r="U25" s="5" t="inlineStr">
        <is>
          <t>not in initial selection</t>
        </is>
      </c>
    </row>
    <row r="26">
      <c r="A26" s="5" t="inlineStr">
        <is>
          <t>DJ30</t>
        </is>
      </c>
      <c r="B26" s="5" t="inlineStr">
        <is>
          <t>2026-06-19</t>
        </is>
      </c>
      <c r="C26" s="5" t="inlineStr">
        <is>
          <t>DIA</t>
        </is>
      </c>
      <c r="D26" s="5" t="inlineStr">
        <is>
          <t>SHW</t>
        </is>
      </c>
      <c r="E26" s="5" t="inlineStr">
        <is>
          <t>SHW</t>
        </is>
      </c>
      <c r="F26" s="5" t="inlineStr">
        <is>
          <t>-</t>
        </is>
      </c>
      <c r="G26" s="6" t="n">
        <v>100</v>
      </c>
      <c r="H26" s="5" t="inlineStr"/>
      <c r="I26" s="8">
        <f>IF(M26&gt;0,InitialCapital/5/G26,0)</f>
        <v/>
      </c>
      <c r="J26" s="6">
        <f>I26*G26</f>
        <v/>
      </c>
      <c r="K26" s="7">
        <f>IF($J$32=0,0,J26/$J$32)</f>
        <v/>
      </c>
      <c r="L26" s="5" t="inlineStr">
        <is>
          <t>REJECTED</t>
        </is>
      </c>
      <c r="M26" s="7" t="n">
        <v>0</v>
      </c>
      <c r="N26" s="6">
        <f>M26*$J$32-J26</f>
        <v/>
      </c>
      <c r="O26" s="8">
        <f>IF(G26=0,0,N26/G26)</f>
        <v/>
      </c>
      <c r="P26" s="5">
        <f>IF(M26&gt;0,D26,"")</f>
        <v/>
      </c>
      <c r="Q26" s="8">
        <f>I26+O26</f>
        <v/>
      </c>
      <c r="R26" s="6">
        <f>Q26*G26</f>
        <v/>
      </c>
      <c r="S26" s="7">
        <f>IF($R$32=0,0,R26/$R$32)</f>
        <v/>
      </c>
      <c r="T26" s="7" t="n">
        <v>0.0065</v>
      </c>
      <c r="U26" s="5" t="inlineStr">
        <is>
          <t>not in initial selection</t>
        </is>
      </c>
    </row>
    <row r="27">
      <c r="A27" s="5" t="inlineStr">
        <is>
          <t>DJ30</t>
        </is>
      </c>
      <c r="B27" s="5" t="inlineStr">
        <is>
          <t>2026-06-19</t>
        </is>
      </c>
      <c r="C27" s="5" t="inlineStr">
        <is>
          <t>DIA</t>
        </is>
      </c>
      <c r="D27" s="5" t="inlineStr">
        <is>
          <t>TRV</t>
        </is>
      </c>
      <c r="E27" s="5" t="inlineStr">
        <is>
          <t>TRV</t>
        </is>
      </c>
      <c r="F27" s="5" t="inlineStr">
        <is>
          <t>-</t>
        </is>
      </c>
      <c r="G27" s="6" t="n">
        <v>100.2</v>
      </c>
      <c r="H27" s="5" t="inlineStr"/>
      <c r="I27" s="8">
        <f>IF(M27&gt;0,InitialCapital/5/G27,0)</f>
        <v/>
      </c>
      <c r="J27" s="6">
        <f>I27*G27</f>
        <v/>
      </c>
      <c r="K27" s="7">
        <f>IF($J$32=0,0,J27/$J$32)</f>
        <v/>
      </c>
      <c r="L27" s="5" t="inlineStr">
        <is>
          <t>REJECTED</t>
        </is>
      </c>
      <c r="M27" s="7" t="n">
        <v>0</v>
      </c>
      <c r="N27" s="6">
        <f>M27*$J$32-J27</f>
        <v/>
      </c>
      <c r="O27" s="8">
        <f>IF(G27=0,0,N27/G27)</f>
        <v/>
      </c>
      <c r="P27" s="5">
        <f>IF(M27&gt;0,D27,"")</f>
        <v/>
      </c>
      <c r="Q27" s="8">
        <f>I27+O27</f>
        <v/>
      </c>
      <c r="R27" s="6">
        <f>Q27*G27</f>
        <v/>
      </c>
      <c r="S27" s="7">
        <f>IF($R$32=0,0,R27/$R$32)</f>
        <v/>
      </c>
      <c r="T27" s="7" t="n">
        <v>0.0065</v>
      </c>
      <c r="U27" s="5" t="inlineStr">
        <is>
          <t>not in initial selection</t>
        </is>
      </c>
    </row>
    <row r="28">
      <c r="A28" s="5" t="inlineStr">
        <is>
          <t>DJ30</t>
        </is>
      </c>
      <c r="B28" s="5" t="inlineStr">
        <is>
          <t>2026-06-19</t>
        </is>
      </c>
      <c r="C28" s="5" t="inlineStr">
        <is>
          <t>DIA</t>
        </is>
      </c>
      <c r="D28" s="5" t="inlineStr">
        <is>
          <t>UNH</t>
        </is>
      </c>
      <c r="E28" s="5" t="inlineStr">
        <is>
          <t>UNH</t>
        </is>
      </c>
      <c r="F28" s="5" t="inlineStr">
        <is>
          <t>-</t>
        </is>
      </c>
      <c r="G28" s="6" t="n">
        <v>100.4</v>
      </c>
      <c r="H28" s="5" t="inlineStr"/>
      <c r="I28" s="8">
        <f>IF(M28&gt;0,InitialCapital/5/G28,0)</f>
        <v/>
      </c>
      <c r="J28" s="6">
        <f>I28*G28</f>
        <v/>
      </c>
      <c r="K28" s="7">
        <f>IF($J$32=0,0,J28/$J$32)</f>
        <v/>
      </c>
      <c r="L28" s="5" t="inlineStr">
        <is>
          <t>REJECTED</t>
        </is>
      </c>
      <c r="M28" s="7" t="n">
        <v>0</v>
      </c>
      <c r="N28" s="6">
        <f>M28*$J$32-J28</f>
        <v/>
      </c>
      <c r="O28" s="8">
        <f>IF(G28=0,0,N28/G28)</f>
        <v/>
      </c>
      <c r="P28" s="5">
        <f>IF(M28&gt;0,D28,"")</f>
        <v/>
      </c>
      <c r="Q28" s="8">
        <f>I28+O28</f>
        <v/>
      </c>
      <c r="R28" s="6">
        <f>Q28*G28</f>
        <v/>
      </c>
      <c r="S28" s="7">
        <f>IF($R$32=0,0,R28/$R$32)</f>
        <v/>
      </c>
      <c r="T28" s="7" t="n">
        <v>0.0065</v>
      </c>
      <c r="U28" s="5" t="inlineStr">
        <is>
          <t>not in initial selection</t>
        </is>
      </c>
    </row>
    <row r="29">
      <c r="A29" s="5" t="inlineStr">
        <is>
          <t>DJ30</t>
        </is>
      </c>
      <c r="B29" s="5" t="inlineStr">
        <is>
          <t>2026-06-19</t>
        </is>
      </c>
      <c r="C29" s="5" t="inlineStr">
        <is>
          <t>DIA</t>
        </is>
      </c>
      <c r="D29" s="5" t="inlineStr">
        <is>
          <t>V</t>
        </is>
      </c>
      <c r="E29" s="5" t="inlineStr">
        <is>
          <t>V</t>
        </is>
      </c>
      <c r="F29" s="5" t="inlineStr">
        <is>
          <t>-</t>
        </is>
      </c>
      <c r="G29" s="6" t="n">
        <v>100.6</v>
      </c>
      <c r="H29" s="5" t="inlineStr"/>
      <c r="I29" s="8">
        <f>IF(M29&gt;0,InitialCapital/5/G29,0)</f>
        <v/>
      </c>
      <c r="J29" s="6">
        <f>I29*G29</f>
        <v/>
      </c>
      <c r="K29" s="7">
        <f>IF($J$32=0,0,J29/$J$32)</f>
        <v/>
      </c>
      <c r="L29" s="5" t="inlineStr">
        <is>
          <t>REJECTED</t>
        </is>
      </c>
      <c r="M29" s="7" t="n">
        <v>0</v>
      </c>
      <c r="N29" s="6">
        <f>M29*$J$32-J29</f>
        <v/>
      </c>
      <c r="O29" s="8">
        <f>IF(G29=0,0,N29/G29)</f>
        <v/>
      </c>
      <c r="P29" s="5">
        <f>IF(M29&gt;0,D29,"")</f>
        <v/>
      </c>
      <c r="Q29" s="8">
        <f>I29+O29</f>
        <v/>
      </c>
      <c r="R29" s="6">
        <f>Q29*G29</f>
        <v/>
      </c>
      <c r="S29" s="7">
        <f>IF($R$32=0,0,R29/$R$32)</f>
        <v/>
      </c>
      <c r="T29" s="7" t="n">
        <v>0.0065</v>
      </c>
      <c r="U29" s="5" t="inlineStr">
        <is>
          <t>not in initial selection</t>
        </is>
      </c>
    </row>
    <row r="30">
      <c r="A30" s="5" t="inlineStr">
        <is>
          <t>DJ30</t>
        </is>
      </c>
      <c r="B30" s="5" t="inlineStr">
        <is>
          <t>2026-06-19</t>
        </is>
      </c>
      <c r="C30" s="5" t="inlineStr">
        <is>
          <t>DIA</t>
        </is>
      </c>
      <c r="D30" s="5" t="inlineStr">
        <is>
          <t>VZ</t>
        </is>
      </c>
      <c r="E30" s="5" t="inlineStr">
        <is>
          <t>VZ</t>
        </is>
      </c>
      <c r="F30" s="5" t="inlineStr">
        <is>
          <t>-</t>
        </is>
      </c>
      <c r="G30" s="6" t="n">
        <v>99.40000000000001</v>
      </c>
      <c r="H30" s="5" t="inlineStr"/>
      <c r="I30" s="8">
        <f>IF(M30&gt;0,InitialCapital/5/G30,0)</f>
        <v/>
      </c>
      <c r="J30" s="6">
        <f>I30*G30</f>
        <v/>
      </c>
      <c r="K30" s="7">
        <f>IF($J$32=0,0,J30/$J$32)</f>
        <v/>
      </c>
      <c r="L30" s="5" t="inlineStr">
        <is>
          <t>REJECTED</t>
        </is>
      </c>
      <c r="M30" s="7" t="n">
        <v>0</v>
      </c>
      <c r="N30" s="6">
        <f>M30*$J$32-J30</f>
        <v/>
      </c>
      <c r="O30" s="8">
        <f>IF(G30=0,0,N30/G30)</f>
        <v/>
      </c>
      <c r="P30" s="5">
        <f>IF(M30&gt;0,D30,"")</f>
        <v/>
      </c>
      <c r="Q30" s="8">
        <f>I30+O30</f>
        <v/>
      </c>
      <c r="R30" s="6">
        <f>Q30*G30</f>
        <v/>
      </c>
      <c r="S30" s="7">
        <f>IF($R$32=0,0,R30/$R$32)</f>
        <v/>
      </c>
      <c r="T30" s="7" t="n">
        <v>0.0065</v>
      </c>
      <c r="U30" s="5" t="inlineStr">
        <is>
          <t>not in initial selection</t>
        </is>
      </c>
    </row>
    <row r="31">
      <c r="A31" s="5" t="inlineStr">
        <is>
          <t>DJ30</t>
        </is>
      </c>
      <c r="B31" s="5" t="inlineStr">
        <is>
          <t>2026-06-19</t>
        </is>
      </c>
      <c r="C31" s="5" t="inlineStr">
        <is>
          <t>DIA</t>
        </is>
      </c>
      <c r="D31" s="5" t="inlineStr">
        <is>
          <t>WMT</t>
        </is>
      </c>
      <c r="E31" s="5" t="inlineStr">
        <is>
          <t>WMT</t>
        </is>
      </c>
      <c r="F31" s="5" t="inlineStr">
        <is>
          <t>-</t>
        </is>
      </c>
      <c r="G31" s="6" t="n">
        <v>99.59999999999999</v>
      </c>
      <c r="H31" s="5" t="inlineStr"/>
      <c r="I31" s="8">
        <f>IF(M31&gt;0,InitialCapital/5/G31,0)</f>
        <v/>
      </c>
      <c r="J31" s="6">
        <f>I31*G31</f>
        <v/>
      </c>
      <c r="K31" s="7">
        <f>IF($J$32=0,0,J31/$J$32)</f>
        <v/>
      </c>
      <c r="L31" s="5" t="inlineStr">
        <is>
          <t>REJECTED</t>
        </is>
      </c>
      <c r="M31" s="7" t="n">
        <v>0</v>
      </c>
      <c r="N31" s="6">
        <f>M31*$J$32-J31</f>
        <v/>
      </c>
      <c r="O31" s="8">
        <f>IF(G31=0,0,N31/G31)</f>
        <v/>
      </c>
      <c r="P31" s="5">
        <f>IF(M31&gt;0,D31,"")</f>
        <v/>
      </c>
      <c r="Q31" s="8">
        <f>I31+O31</f>
        <v/>
      </c>
      <c r="R31" s="6">
        <f>Q31*G31</f>
        <v/>
      </c>
      <c r="S31" s="7">
        <f>IF($R$32=0,0,R31/$R$32)</f>
        <v/>
      </c>
      <c r="T31" s="7" t="n">
        <v>0.0065</v>
      </c>
      <c r="U31" s="5" t="inlineStr">
        <is>
          <t>not in initial selection</t>
        </is>
      </c>
    </row>
    <row r="32">
      <c r="A32" s="9" t="inlineStr">
        <is>
          <t>DJ30</t>
        </is>
      </c>
      <c r="B32" s="9" t="inlineStr">
        <is>
          <t>2026-06-19</t>
        </is>
      </c>
      <c r="C32" s="9" t="inlineStr">
        <is>
          <t>DIA</t>
        </is>
      </c>
      <c r="D32" s="9" t="inlineStr">
        <is>
          <t>Tot Portfolio</t>
        </is>
      </c>
      <c r="E32" s="9" t="inlineStr"/>
      <c r="F32" s="9" t="inlineStr"/>
      <c r="G32" s="10" t="inlineStr"/>
      <c r="H32" s="9" t="inlineStr"/>
      <c r="I32" s="11" t="inlineStr"/>
      <c r="J32" s="10">
        <f>SUM(J2:J31)</f>
        <v/>
      </c>
      <c r="K32" s="12">
        <f>SUM(K2:K31)</f>
        <v/>
      </c>
      <c r="L32" s="9" t="inlineStr">
        <is>
          <t>TOTAL</t>
        </is>
      </c>
      <c r="M32" s="12">
        <f>SUM(M2:M31)</f>
        <v/>
      </c>
      <c r="N32" s="10">
        <f>SUM(N2:N31)</f>
        <v/>
      </c>
      <c r="O32" s="11">
        <f>SUM(O2:O31)</f>
        <v/>
      </c>
      <c r="P32" s="9" t="inlineStr"/>
      <c r="Q32" s="11" t="inlineStr"/>
      <c r="R32" s="10">
        <f>SUM(R2:R31)</f>
        <v/>
      </c>
      <c r="S32" s="12">
        <f>SUM(S2:S31)</f>
        <v/>
      </c>
      <c r="T32" s="12" t="n">
        <v>0.0065</v>
      </c>
      <c r="U32" s="9" t="inlineStr"/>
    </row>
    <row r="33">
      <c r="A33" s="5" t="inlineStr">
        <is>
          <t>DJ30</t>
        </is>
      </c>
      <c r="B33" s="5" t="inlineStr">
        <is>
          <t>2026-06-26</t>
        </is>
      </c>
      <c r="C33" s="5" t="inlineStr">
        <is>
          <t>DIA</t>
        </is>
      </c>
      <c r="D33" s="5" t="inlineStr">
        <is>
          <t>AAPL</t>
        </is>
      </c>
      <c r="E33" s="5" t="inlineStr">
        <is>
          <t>AAPL</t>
        </is>
      </c>
      <c r="F33" s="5" t="inlineStr">
        <is>
          <t>-</t>
        </is>
      </c>
      <c r="G33" s="6" t="n">
        <v>110.44</v>
      </c>
      <c r="H33" s="5">
        <f>P2</f>
        <v/>
      </c>
      <c r="I33" s="8">
        <f>Q2</f>
        <v/>
      </c>
      <c r="J33" s="6">
        <f>I33*G33</f>
        <v/>
      </c>
      <c r="K33" s="7">
        <f>IF($J$63=0,0,J33/$J$63)</f>
        <v/>
      </c>
      <c r="L33" s="5" t="inlineStr">
        <is>
          <t>REJECTED</t>
        </is>
      </c>
      <c r="M33" s="7" t="n">
        <v>0</v>
      </c>
      <c r="N33" s="6">
        <f>M33*$J$63-J33</f>
        <v/>
      </c>
      <c r="O33" s="8">
        <f>IF(G33=0,0,N33/G33)</f>
        <v/>
      </c>
      <c r="P33" s="5">
        <f>IF(M33&gt;0,D33,"")</f>
        <v/>
      </c>
      <c r="Q33" s="8">
        <f>I33+O33</f>
        <v/>
      </c>
      <c r="R33" s="6">
        <f>Q33*G33</f>
        <v/>
      </c>
      <c r="S33" s="7">
        <f>IF($R$63=0,0,R33/$R$63)</f>
        <v/>
      </c>
      <c r="T33" s="7" t="n">
        <v>0.01</v>
      </c>
      <c r="U33" s="5" t="inlineStr">
        <is>
          <t>removed from weekly selection</t>
        </is>
      </c>
    </row>
    <row r="34">
      <c r="A34" s="5" t="inlineStr">
        <is>
          <t>DJ30</t>
        </is>
      </c>
      <c r="B34" s="5" t="inlineStr">
        <is>
          <t>2026-06-26</t>
        </is>
      </c>
      <c r="C34" s="5" t="inlineStr">
        <is>
          <t>DIA</t>
        </is>
      </c>
      <c r="D34" s="5" t="inlineStr">
        <is>
          <t>AMGN</t>
        </is>
      </c>
      <c r="E34" s="5" t="inlineStr">
        <is>
          <t>AMGN</t>
        </is>
      </c>
      <c r="F34" s="5" t="inlineStr">
        <is>
          <t>-</t>
        </is>
      </c>
      <c r="G34" s="6" t="n">
        <v>100.6</v>
      </c>
      <c r="H34" s="5">
        <f>P3</f>
        <v/>
      </c>
      <c r="I34" s="8">
        <f>Q3</f>
        <v/>
      </c>
      <c r="J34" s="6">
        <f>I34*G34</f>
        <v/>
      </c>
      <c r="K34" s="7">
        <f>IF($J$63=0,0,J34/$J$63)</f>
        <v/>
      </c>
      <c r="L34" s="5" t="inlineStr">
        <is>
          <t>SELECTED</t>
        </is>
      </c>
      <c r="M34" s="7" t="n">
        <v>0.2</v>
      </c>
      <c r="N34" s="6">
        <f>M34*$J$63-J34</f>
        <v/>
      </c>
      <c r="O34" s="8">
        <f>IF(G34=0,0,N34/G34)</f>
        <v/>
      </c>
      <c r="P34" s="5">
        <f>IF(M34&gt;0,D34,"")</f>
        <v/>
      </c>
      <c r="Q34" s="8">
        <f>I34+O34</f>
        <v/>
      </c>
      <c r="R34" s="6">
        <f>Q34*G34</f>
        <v/>
      </c>
      <c r="S34" s="7">
        <f>IF($R$63=0,0,R34/$R$63)</f>
        <v/>
      </c>
      <c r="T34" s="7" t="n">
        <v>0.01</v>
      </c>
      <c r="U34" s="5" t="inlineStr">
        <is>
          <t>entered weekly selection</t>
        </is>
      </c>
    </row>
    <row r="35">
      <c r="A35" s="5" t="inlineStr">
        <is>
          <t>DJ30</t>
        </is>
      </c>
      <c r="B35" s="5" t="inlineStr">
        <is>
          <t>2026-06-26</t>
        </is>
      </c>
      <c r="C35" s="5" t="inlineStr">
        <is>
          <t>DIA</t>
        </is>
      </c>
      <c r="D35" s="5" t="inlineStr">
        <is>
          <t>AMZN</t>
        </is>
      </c>
      <c r="E35" s="5" t="inlineStr">
        <is>
          <t>AMZN</t>
        </is>
      </c>
      <c r="F35" s="5" t="inlineStr">
        <is>
          <t>-</t>
        </is>
      </c>
      <c r="G35" s="6" t="n">
        <v>100.8</v>
      </c>
      <c r="H35" s="5">
        <f>P4</f>
        <v/>
      </c>
      <c r="I35" s="8">
        <f>Q4</f>
        <v/>
      </c>
      <c r="J35" s="6">
        <f>I35*G35</f>
        <v/>
      </c>
      <c r="K35" s="7">
        <f>IF($J$63=0,0,J35/$J$63)</f>
        <v/>
      </c>
      <c r="L35" s="5" t="inlineStr">
        <is>
          <t>WATCHLIST</t>
        </is>
      </c>
      <c r="M35" s="7" t="n">
        <v>0</v>
      </c>
      <c r="N35" s="6">
        <f>M35*$J$63-J35</f>
        <v/>
      </c>
      <c r="O35" s="8">
        <f>IF(G35=0,0,N35/G35)</f>
        <v/>
      </c>
      <c r="P35" s="5">
        <f>IF(M35&gt;0,D35,"")</f>
        <v/>
      </c>
      <c r="Q35" s="8">
        <f>I35+O35</f>
        <v/>
      </c>
      <c r="R35" s="6">
        <f>Q35*G35</f>
        <v/>
      </c>
      <c r="S35" s="7">
        <f>IF($R$63=0,0,R35/$R$63)</f>
        <v/>
      </c>
      <c r="T35" s="7" t="n">
        <v>0.01</v>
      </c>
      <c r="U35" s="5" t="inlineStr">
        <is>
          <t>not selected</t>
        </is>
      </c>
    </row>
    <row r="36">
      <c r="A36" s="5" t="inlineStr">
        <is>
          <t>DJ30</t>
        </is>
      </c>
      <c r="B36" s="5" t="inlineStr">
        <is>
          <t>2026-06-26</t>
        </is>
      </c>
      <c r="C36" s="5" t="inlineStr">
        <is>
          <t>DIA</t>
        </is>
      </c>
      <c r="D36" s="5" t="inlineStr">
        <is>
          <t>AXP</t>
        </is>
      </c>
      <c r="E36" s="5" t="inlineStr">
        <is>
          <t>AXP</t>
        </is>
      </c>
      <c r="F36" s="5" t="inlineStr">
        <is>
          <t>-</t>
        </is>
      </c>
      <c r="G36" s="6" t="n">
        <v>101</v>
      </c>
      <c r="H36" s="5">
        <f>P5</f>
        <v/>
      </c>
      <c r="I36" s="8">
        <f>Q5</f>
        <v/>
      </c>
      <c r="J36" s="6">
        <f>I36*G36</f>
        <v/>
      </c>
      <c r="K36" s="7">
        <f>IF($J$63=0,0,J36/$J$63)</f>
        <v/>
      </c>
      <c r="L36" s="5" t="inlineStr">
        <is>
          <t>WATCHLIST</t>
        </is>
      </c>
      <c r="M36" s="7" t="n">
        <v>0</v>
      </c>
      <c r="N36" s="6">
        <f>M36*$J$63-J36</f>
        <v/>
      </c>
      <c r="O36" s="8">
        <f>IF(G36=0,0,N36/G36)</f>
        <v/>
      </c>
      <c r="P36" s="5">
        <f>IF(M36&gt;0,D36,"")</f>
        <v/>
      </c>
      <c r="Q36" s="8">
        <f>I36+O36</f>
        <v/>
      </c>
      <c r="R36" s="6">
        <f>Q36*G36</f>
        <v/>
      </c>
      <c r="S36" s="7">
        <f>IF($R$63=0,0,R36/$R$63)</f>
        <v/>
      </c>
      <c r="T36" s="7" t="n">
        <v>0.01</v>
      </c>
      <c r="U36" s="5" t="inlineStr">
        <is>
          <t>not selected</t>
        </is>
      </c>
    </row>
    <row r="37">
      <c r="A37" s="5" t="inlineStr">
        <is>
          <t>DJ30</t>
        </is>
      </c>
      <c r="B37" s="5" t="inlineStr">
        <is>
          <t>2026-06-26</t>
        </is>
      </c>
      <c r="C37" s="5" t="inlineStr">
        <is>
          <t>DIA</t>
        </is>
      </c>
      <c r="D37" s="5" t="inlineStr">
        <is>
          <t>BA</t>
        </is>
      </c>
      <c r="E37" s="5" t="inlineStr">
        <is>
          <t>BA</t>
        </is>
      </c>
      <c r="F37" s="5" t="inlineStr">
        <is>
          <t>-</t>
        </is>
      </c>
      <c r="G37" s="6" t="n">
        <v>101.2</v>
      </c>
      <c r="H37" s="5">
        <f>P6</f>
        <v/>
      </c>
      <c r="I37" s="8">
        <f>Q6</f>
        <v/>
      </c>
      <c r="J37" s="6">
        <f>I37*G37</f>
        <v/>
      </c>
      <c r="K37" s="7">
        <f>IF($J$63=0,0,J37/$J$63)</f>
        <v/>
      </c>
      <c r="L37" s="5" t="inlineStr">
        <is>
          <t>WATCHLIST</t>
        </is>
      </c>
      <c r="M37" s="7" t="n">
        <v>0</v>
      </c>
      <c r="N37" s="6">
        <f>M37*$J$63-J37</f>
        <v/>
      </c>
      <c r="O37" s="8">
        <f>IF(G37=0,0,N37/G37)</f>
        <v/>
      </c>
      <c r="P37" s="5">
        <f>IF(M37&gt;0,D37,"")</f>
        <v/>
      </c>
      <c r="Q37" s="8">
        <f>I37+O37</f>
        <v/>
      </c>
      <c r="R37" s="6">
        <f>Q37*G37</f>
        <v/>
      </c>
      <c r="S37" s="7">
        <f>IF($R$63=0,0,R37/$R$63)</f>
        <v/>
      </c>
      <c r="T37" s="7" t="n">
        <v>0.01</v>
      </c>
      <c r="U37" s="5" t="inlineStr">
        <is>
          <t>not selected</t>
        </is>
      </c>
    </row>
    <row r="38">
      <c r="A38" s="5" t="inlineStr">
        <is>
          <t>DJ30</t>
        </is>
      </c>
      <c r="B38" s="5" t="inlineStr">
        <is>
          <t>2026-06-26</t>
        </is>
      </c>
      <c r="C38" s="5" t="inlineStr">
        <is>
          <t>DIA</t>
        </is>
      </c>
      <c r="D38" s="5" t="inlineStr">
        <is>
          <t>CAT</t>
        </is>
      </c>
      <c r="E38" s="5" t="inlineStr">
        <is>
          <t>CAT</t>
        </is>
      </c>
      <c r="F38" s="5" t="inlineStr">
        <is>
          <t>-</t>
        </is>
      </c>
      <c r="G38" s="6" t="n">
        <v>91.26000000000001</v>
      </c>
      <c r="H38" s="5">
        <f>P7</f>
        <v/>
      </c>
      <c r="I38" s="8">
        <f>Q7</f>
        <v/>
      </c>
      <c r="J38" s="6">
        <f>I38*G38</f>
        <v/>
      </c>
      <c r="K38" s="7">
        <f>IF($J$63=0,0,J38/$J$63)</f>
        <v/>
      </c>
      <c r="L38" s="5" t="inlineStr">
        <is>
          <t>SELECTED</t>
        </is>
      </c>
      <c r="M38" s="7" t="n">
        <v>0.2</v>
      </c>
      <c r="N38" s="6">
        <f>M38*$J$63-J38</f>
        <v/>
      </c>
      <c r="O38" s="8">
        <f>IF(G38=0,0,N38/G38)</f>
        <v/>
      </c>
      <c r="P38" s="5">
        <f>IF(M38&gt;0,D38,"")</f>
        <v/>
      </c>
      <c r="Q38" s="8">
        <f>I38+O38</f>
        <v/>
      </c>
      <c r="R38" s="6">
        <f>Q38*G38</f>
        <v/>
      </c>
      <c r="S38" s="7">
        <f>IF($R$63=0,0,R38/$R$63)</f>
        <v/>
      </c>
      <c r="T38" s="7" t="n">
        <v>0.01</v>
      </c>
      <c r="U38" s="5" t="inlineStr">
        <is>
          <t>remained in weekly selection</t>
        </is>
      </c>
    </row>
    <row r="39">
      <c r="A39" s="5" t="inlineStr">
        <is>
          <t>DJ30</t>
        </is>
      </c>
      <c r="B39" s="5" t="inlineStr">
        <is>
          <t>2026-06-26</t>
        </is>
      </c>
      <c r="C39" s="5" t="inlineStr">
        <is>
          <t>DIA</t>
        </is>
      </c>
      <c r="D39" s="5" t="inlineStr">
        <is>
          <t>CRM</t>
        </is>
      </c>
      <c r="E39" s="5" t="inlineStr">
        <is>
          <t>CRM</t>
        </is>
      </c>
      <c r="F39" s="5" t="inlineStr">
        <is>
          <t>-</t>
        </is>
      </c>
      <c r="G39" s="6" t="n">
        <v>101.6</v>
      </c>
      <c r="H39" s="5">
        <f>P8</f>
        <v/>
      </c>
      <c r="I39" s="8">
        <f>Q8</f>
        <v/>
      </c>
      <c r="J39" s="6">
        <f>I39*G39</f>
        <v/>
      </c>
      <c r="K39" s="7">
        <f>IF($J$63=0,0,J39/$J$63)</f>
        <v/>
      </c>
      <c r="L39" s="5" t="inlineStr">
        <is>
          <t>WATCHLIST</t>
        </is>
      </c>
      <c r="M39" s="7" t="n">
        <v>0</v>
      </c>
      <c r="N39" s="6">
        <f>M39*$J$63-J39</f>
        <v/>
      </c>
      <c r="O39" s="8">
        <f>IF(G39=0,0,N39/G39)</f>
        <v/>
      </c>
      <c r="P39" s="5">
        <f>IF(M39&gt;0,D39,"")</f>
        <v/>
      </c>
      <c r="Q39" s="8">
        <f>I39+O39</f>
        <v/>
      </c>
      <c r="R39" s="6">
        <f>Q39*G39</f>
        <v/>
      </c>
      <c r="S39" s="7">
        <f>IF($R$63=0,0,R39/$R$63)</f>
        <v/>
      </c>
      <c r="T39" s="7" t="n">
        <v>0.01</v>
      </c>
      <c r="U39" s="5" t="inlineStr">
        <is>
          <t>not selected</t>
        </is>
      </c>
    </row>
    <row r="40">
      <c r="A40" s="5" t="inlineStr">
        <is>
          <t>DJ30</t>
        </is>
      </c>
      <c r="B40" s="5" t="inlineStr">
        <is>
          <t>2026-06-26</t>
        </is>
      </c>
      <c r="C40" s="5" t="inlineStr">
        <is>
          <t>DIA</t>
        </is>
      </c>
      <c r="D40" s="5" t="inlineStr">
        <is>
          <t>CSCO</t>
        </is>
      </c>
      <c r="E40" s="5" t="inlineStr">
        <is>
          <t>CSCO</t>
        </is>
      </c>
      <c r="F40" s="5" t="inlineStr">
        <is>
          <t>-</t>
        </is>
      </c>
      <c r="G40" s="6" t="n">
        <v>100.4</v>
      </c>
      <c r="H40" s="5">
        <f>P9</f>
        <v/>
      </c>
      <c r="I40" s="8">
        <f>Q9</f>
        <v/>
      </c>
      <c r="J40" s="6">
        <f>I40*G40</f>
        <v/>
      </c>
      <c r="K40" s="7">
        <f>IF($J$63=0,0,J40/$J$63)</f>
        <v/>
      </c>
      <c r="L40" s="5" t="inlineStr">
        <is>
          <t>WATCHLIST</t>
        </is>
      </c>
      <c r="M40" s="7" t="n">
        <v>0</v>
      </c>
      <c r="N40" s="6">
        <f>M40*$J$63-J40</f>
        <v/>
      </c>
      <c r="O40" s="8">
        <f>IF(G40=0,0,N40/G40)</f>
        <v/>
      </c>
      <c r="P40" s="5">
        <f>IF(M40&gt;0,D40,"")</f>
        <v/>
      </c>
      <c r="Q40" s="8">
        <f>I40+O40</f>
        <v/>
      </c>
      <c r="R40" s="6">
        <f>Q40*G40</f>
        <v/>
      </c>
      <c r="S40" s="7">
        <f>IF($R$63=0,0,R40/$R$63)</f>
        <v/>
      </c>
      <c r="T40" s="7" t="n">
        <v>0.01</v>
      </c>
      <c r="U40" s="5" t="inlineStr">
        <is>
          <t>not selected</t>
        </is>
      </c>
    </row>
    <row r="41">
      <c r="A41" s="5" t="inlineStr">
        <is>
          <t>DJ30</t>
        </is>
      </c>
      <c r="B41" s="5" t="inlineStr">
        <is>
          <t>2026-06-26</t>
        </is>
      </c>
      <c r="C41" s="5" t="inlineStr">
        <is>
          <t>DIA</t>
        </is>
      </c>
      <c r="D41" s="5" t="inlineStr">
        <is>
          <t>CVX</t>
        </is>
      </c>
      <c r="E41" s="5" t="inlineStr">
        <is>
          <t>CVX</t>
        </is>
      </c>
      <c r="F41" s="5" t="inlineStr">
        <is>
          <t>-</t>
        </is>
      </c>
      <c r="G41" s="6" t="n">
        <v>100.6</v>
      </c>
      <c r="H41" s="5">
        <f>P10</f>
        <v/>
      </c>
      <c r="I41" s="8">
        <f>Q10</f>
        <v/>
      </c>
      <c r="J41" s="6">
        <f>I41*G41</f>
        <v/>
      </c>
      <c r="K41" s="7">
        <f>IF($J$63=0,0,J41/$J$63)</f>
        <v/>
      </c>
      <c r="L41" s="5" t="inlineStr">
        <is>
          <t>WATCHLIST</t>
        </is>
      </c>
      <c r="M41" s="7" t="n">
        <v>0</v>
      </c>
      <c r="N41" s="6">
        <f>M41*$J$63-J41</f>
        <v/>
      </c>
      <c r="O41" s="8">
        <f>IF(G41=0,0,N41/G41)</f>
        <v/>
      </c>
      <c r="P41" s="5">
        <f>IF(M41&gt;0,D41,"")</f>
        <v/>
      </c>
      <c r="Q41" s="8">
        <f>I41+O41</f>
        <v/>
      </c>
      <c r="R41" s="6">
        <f>Q41*G41</f>
        <v/>
      </c>
      <c r="S41" s="7">
        <f>IF($R$63=0,0,R41/$R$63)</f>
        <v/>
      </c>
      <c r="T41" s="7" t="n">
        <v>0.01</v>
      </c>
      <c r="U41" s="5" t="inlineStr">
        <is>
          <t>not selected</t>
        </is>
      </c>
    </row>
    <row r="42">
      <c r="A42" s="5" t="inlineStr">
        <is>
          <t>DJ30</t>
        </is>
      </c>
      <c r="B42" s="5" t="inlineStr">
        <is>
          <t>2026-06-26</t>
        </is>
      </c>
      <c r="C42" s="5" t="inlineStr">
        <is>
          <t>DIA</t>
        </is>
      </c>
      <c r="D42" s="5" t="inlineStr">
        <is>
          <t>DIS</t>
        </is>
      </c>
      <c r="E42" s="5" t="inlineStr">
        <is>
          <t>DIS</t>
        </is>
      </c>
      <c r="F42" s="5" t="inlineStr">
        <is>
          <t>-</t>
        </is>
      </c>
      <c r="G42" s="6" t="n">
        <v>100.8</v>
      </c>
      <c r="H42" s="5">
        <f>P11</f>
        <v/>
      </c>
      <c r="I42" s="8">
        <f>Q11</f>
        <v/>
      </c>
      <c r="J42" s="6">
        <f>I42*G42</f>
        <v/>
      </c>
      <c r="K42" s="7">
        <f>IF($J$63=0,0,J42/$J$63)</f>
        <v/>
      </c>
      <c r="L42" s="5" t="inlineStr">
        <is>
          <t>WATCHLIST</t>
        </is>
      </c>
      <c r="M42" s="7" t="n">
        <v>0</v>
      </c>
      <c r="N42" s="6">
        <f>M42*$J$63-J42</f>
        <v/>
      </c>
      <c r="O42" s="8">
        <f>IF(G42=0,0,N42/G42)</f>
        <v/>
      </c>
      <c r="P42" s="5">
        <f>IF(M42&gt;0,D42,"")</f>
        <v/>
      </c>
      <c r="Q42" s="8">
        <f>I42+O42</f>
        <v/>
      </c>
      <c r="R42" s="6">
        <f>Q42*G42</f>
        <v/>
      </c>
      <c r="S42" s="7">
        <f>IF($R$63=0,0,R42/$R$63)</f>
        <v/>
      </c>
      <c r="T42" s="7" t="n">
        <v>0.01</v>
      </c>
      <c r="U42" s="5" t="inlineStr">
        <is>
          <t>not selected</t>
        </is>
      </c>
    </row>
    <row r="43">
      <c r="A43" s="5" t="inlineStr">
        <is>
          <t>DJ30</t>
        </is>
      </c>
      <c r="B43" s="5" t="inlineStr">
        <is>
          <t>2026-06-26</t>
        </is>
      </c>
      <c r="C43" s="5" t="inlineStr">
        <is>
          <t>DIA</t>
        </is>
      </c>
      <c r="D43" s="5" t="inlineStr">
        <is>
          <t>GS</t>
        </is>
      </c>
      <c r="E43" s="5" t="inlineStr">
        <is>
          <t>GS</t>
        </is>
      </c>
      <c r="F43" s="5" t="inlineStr">
        <is>
          <t>-</t>
        </is>
      </c>
      <c r="G43" s="6" t="n">
        <v>101</v>
      </c>
      <c r="H43" s="5">
        <f>P12</f>
        <v/>
      </c>
      <c r="I43" s="8">
        <f>Q12</f>
        <v/>
      </c>
      <c r="J43" s="6">
        <f>I43*G43</f>
        <v/>
      </c>
      <c r="K43" s="7">
        <f>IF($J$63=0,0,J43/$J$63)</f>
        <v/>
      </c>
      <c r="L43" s="5" t="inlineStr">
        <is>
          <t>REJECTED</t>
        </is>
      </c>
      <c r="M43" s="7" t="n">
        <v>0</v>
      </c>
      <c r="N43" s="6">
        <f>M43*$J$63-J43</f>
        <v/>
      </c>
      <c r="O43" s="8">
        <f>IF(G43=0,0,N43/G43)</f>
        <v/>
      </c>
      <c r="P43" s="5">
        <f>IF(M43&gt;0,D43,"")</f>
        <v/>
      </c>
      <c r="Q43" s="8">
        <f>I43+O43</f>
        <v/>
      </c>
      <c r="R43" s="6">
        <f>Q43*G43</f>
        <v/>
      </c>
      <c r="S43" s="7">
        <f>IF($R$63=0,0,R43/$R$63)</f>
        <v/>
      </c>
      <c r="T43" s="7" t="n">
        <v>0.01</v>
      </c>
      <c r="U43" s="5" t="inlineStr">
        <is>
          <t>not selected</t>
        </is>
      </c>
    </row>
    <row r="44">
      <c r="A44" s="5" t="inlineStr">
        <is>
          <t>DJ30</t>
        </is>
      </c>
      <c r="B44" s="5" t="inlineStr">
        <is>
          <t>2026-06-26</t>
        </is>
      </c>
      <c r="C44" s="5" t="inlineStr">
        <is>
          <t>DIA</t>
        </is>
      </c>
      <c r="D44" s="5" t="inlineStr">
        <is>
          <t>HD</t>
        </is>
      </c>
      <c r="E44" s="5" t="inlineStr">
        <is>
          <t>HD</t>
        </is>
      </c>
      <c r="F44" s="5" t="inlineStr">
        <is>
          <t>-</t>
        </is>
      </c>
      <c r="G44" s="6" t="n">
        <v>101.2</v>
      </c>
      <c r="H44" s="5">
        <f>P13</f>
        <v/>
      </c>
      <c r="I44" s="8">
        <f>Q13</f>
        <v/>
      </c>
      <c r="J44" s="6">
        <f>I44*G44</f>
        <v/>
      </c>
      <c r="K44" s="7">
        <f>IF($J$63=0,0,J44/$J$63)</f>
        <v/>
      </c>
      <c r="L44" s="5" t="inlineStr">
        <is>
          <t>REJECTED</t>
        </is>
      </c>
      <c r="M44" s="7" t="n">
        <v>0</v>
      </c>
      <c r="N44" s="6">
        <f>M44*$J$63-J44</f>
        <v/>
      </c>
      <c r="O44" s="8">
        <f>IF(G44=0,0,N44/G44)</f>
        <v/>
      </c>
      <c r="P44" s="5">
        <f>IF(M44&gt;0,D44,"")</f>
        <v/>
      </c>
      <c r="Q44" s="8">
        <f>I44+O44</f>
        <v/>
      </c>
      <c r="R44" s="6">
        <f>Q44*G44</f>
        <v/>
      </c>
      <c r="S44" s="7">
        <f>IF($R$63=0,0,R44/$R$63)</f>
        <v/>
      </c>
      <c r="T44" s="7" t="n">
        <v>0.01</v>
      </c>
      <c r="U44" s="5" t="inlineStr">
        <is>
          <t>not selected</t>
        </is>
      </c>
    </row>
    <row r="45">
      <c r="A45" s="5" t="inlineStr">
        <is>
          <t>DJ30</t>
        </is>
      </c>
      <c r="B45" s="5" t="inlineStr">
        <is>
          <t>2026-06-26</t>
        </is>
      </c>
      <c r="C45" s="5" t="inlineStr">
        <is>
          <t>DIA</t>
        </is>
      </c>
      <c r="D45" s="5" t="inlineStr">
        <is>
          <t>HON</t>
        </is>
      </c>
      <c r="E45" s="5" t="inlineStr">
        <is>
          <t>HON</t>
        </is>
      </c>
      <c r="F45" s="5" t="inlineStr">
        <is>
          <t>-</t>
        </is>
      </c>
      <c r="G45" s="6" t="n">
        <v>103.43</v>
      </c>
      <c r="H45" s="5">
        <f>P14</f>
        <v/>
      </c>
      <c r="I45" s="8">
        <f>Q14</f>
        <v/>
      </c>
      <c r="J45" s="6">
        <f>I45*G45</f>
        <v/>
      </c>
      <c r="K45" s="7">
        <f>IF($J$63=0,0,J45/$J$63)</f>
        <v/>
      </c>
      <c r="L45" s="5" t="inlineStr">
        <is>
          <t>SELECTED</t>
        </is>
      </c>
      <c r="M45" s="7" t="n">
        <v>0.2</v>
      </c>
      <c r="N45" s="6">
        <f>M45*$J$63-J45</f>
        <v/>
      </c>
      <c r="O45" s="8">
        <f>IF(G45=0,0,N45/G45)</f>
        <v/>
      </c>
      <c r="P45" s="5">
        <f>IF(M45&gt;0,D45,"")</f>
        <v/>
      </c>
      <c r="Q45" s="8">
        <f>I45+O45</f>
        <v/>
      </c>
      <c r="R45" s="6">
        <f>Q45*G45</f>
        <v/>
      </c>
      <c r="S45" s="7">
        <f>IF($R$63=0,0,R45/$R$63)</f>
        <v/>
      </c>
      <c r="T45" s="7" t="n">
        <v>0.01</v>
      </c>
      <c r="U45" s="5" t="inlineStr">
        <is>
          <t>remained in weekly selection</t>
        </is>
      </c>
    </row>
    <row r="46">
      <c r="A46" s="5" t="inlineStr">
        <is>
          <t>DJ30</t>
        </is>
      </c>
      <c r="B46" s="5" t="inlineStr">
        <is>
          <t>2026-06-26</t>
        </is>
      </c>
      <c r="C46" s="5" t="inlineStr">
        <is>
          <t>DIA</t>
        </is>
      </c>
      <c r="D46" s="5" t="inlineStr">
        <is>
          <t>IBM</t>
        </is>
      </c>
      <c r="E46" s="5" t="inlineStr">
        <is>
          <t>IBM</t>
        </is>
      </c>
      <c r="F46" s="5" t="inlineStr">
        <is>
          <t>-</t>
        </is>
      </c>
      <c r="G46" s="6" t="n">
        <v>101.6</v>
      </c>
      <c r="H46" s="5">
        <f>P15</f>
        <v/>
      </c>
      <c r="I46" s="8">
        <f>Q15</f>
        <v/>
      </c>
      <c r="J46" s="6">
        <f>I46*G46</f>
        <v/>
      </c>
      <c r="K46" s="7">
        <f>IF($J$63=0,0,J46/$J$63)</f>
        <v/>
      </c>
      <c r="L46" s="5" t="inlineStr">
        <is>
          <t>REJECTED</t>
        </is>
      </c>
      <c r="M46" s="7" t="n">
        <v>0</v>
      </c>
      <c r="N46" s="6">
        <f>M46*$J$63-J46</f>
        <v/>
      </c>
      <c r="O46" s="8">
        <f>IF(G46=0,0,N46/G46)</f>
        <v/>
      </c>
      <c r="P46" s="5">
        <f>IF(M46&gt;0,D46,"")</f>
        <v/>
      </c>
      <c r="Q46" s="8">
        <f>I46+O46</f>
        <v/>
      </c>
      <c r="R46" s="6">
        <f>Q46*G46</f>
        <v/>
      </c>
      <c r="S46" s="7">
        <f>IF($R$63=0,0,R46/$R$63)</f>
        <v/>
      </c>
      <c r="T46" s="7" t="n">
        <v>0.01</v>
      </c>
      <c r="U46" s="5" t="inlineStr">
        <is>
          <t>not selected</t>
        </is>
      </c>
    </row>
    <row r="47">
      <c r="A47" s="5" t="inlineStr">
        <is>
          <t>DJ30</t>
        </is>
      </c>
      <c r="B47" s="5" t="inlineStr">
        <is>
          <t>2026-06-26</t>
        </is>
      </c>
      <c r="C47" s="5" t="inlineStr">
        <is>
          <t>DIA</t>
        </is>
      </c>
      <c r="D47" s="5" t="inlineStr">
        <is>
          <t>JNJ</t>
        </is>
      </c>
      <c r="E47" s="5" t="inlineStr">
        <is>
          <t>JNJ</t>
        </is>
      </c>
      <c r="F47" s="5" t="inlineStr">
        <is>
          <t>-</t>
        </is>
      </c>
      <c r="G47" s="6" t="n">
        <v>100.4</v>
      </c>
      <c r="H47" s="5">
        <f>P16</f>
        <v/>
      </c>
      <c r="I47" s="8">
        <f>Q16</f>
        <v/>
      </c>
      <c r="J47" s="6">
        <f>I47*G47</f>
        <v/>
      </c>
      <c r="K47" s="7">
        <f>IF($J$63=0,0,J47/$J$63)</f>
        <v/>
      </c>
      <c r="L47" s="5" t="inlineStr">
        <is>
          <t>REJECTED</t>
        </is>
      </c>
      <c r="M47" s="7" t="n">
        <v>0</v>
      </c>
      <c r="N47" s="6">
        <f>M47*$J$63-J47</f>
        <v/>
      </c>
      <c r="O47" s="8">
        <f>IF(G47=0,0,N47/G47)</f>
        <v/>
      </c>
      <c r="P47" s="5">
        <f>IF(M47&gt;0,D47,"")</f>
        <v/>
      </c>
      <c r="Q47" s="8">
        <f>I47+O47</f>
        <v/>
      </c>
      <c r="R47" s="6">
        <f>Q47*G47</f>
        <v/>
      </c>
      <c r="S47" s="7">
        <f>IF($R$63=0,0,R47/$R$63)</f>
        <v/>
      </c>
      <c r="T47" s="7" t="n">
        <v>0.01</v>
      </c>
      <c r="U47" s="5" t="inlineStr">
        <is>
          <t>not selected</t>
        </is>
      </c>
    </row>
    <row r="48">
      <c r="A48" s="5" t="inlineStr">
        <is>
          <t>DJ30</t>
        </is>
      </c>
      <c r="B48" s="5" t="inlineStr">
        <is>
          <t>2026-06-26</t>
        </is>
      </c>
      <c r="C48" s="5" t="inlineStr">
        <is>
          <t>DIA</t>
        </is>
      </c>
      <c r="D48" s="5" t="inlineStr">
        <is>
          <t>JPM</t>
        </is>
      </c>
      <c r="E48" s="5" t="inlineStr">
        <is>
          <t>JPM</t>
        </is>
      </c>
      <c r="F48" s="5" t="inlineStr">
        <is>
          <t>-</t>
        </is>
      </c>
      <c r="G48" s="6" t="n">
        <v>100.6</v>
      </c>
      <c r="H48" s="5">
        <f>P17</f>
        <v/>
      </c>
      <c r="I48" s="8">
        <f>Q17</f>
        <v/>
      </c>
      <c r="J48" s="6">
        <f>I48*G48</f>
        <v/>
      </c>
      <c r="K48" s="7">
        <f>IF($J$63=0,0,J48/$J$63)</f>
        <v/>
      </c>
      <c r="L48" s="5" t="inlineStr">
        <is>
          <t>REJECTED</t>
        </is>
      </c>
      <c r="M48" s="7" t="n">
        <v>0</v>
      </c>
      <c r="N48" s="6">
        <f>M48*$J$63-J48</f>
        <v/>
      </c>
      <c r="O48" s="8">
        <f>IF(G48=0,0,N48/G48)</f>
        <v/>
      </c>
      <c r="P48" s="5">
        <f>IF(M48&gt;0,D48,"")</f>
        <v/>
      </c>
      <c r="Q48" s="8">
        <f>I48+O48</f>
        <v/>
      </c>
      <c r="R48" s="6">
        <f>Q48*G48</f>
        <v/>
      </c>
      <c r="S48" s="7">
        <f>IF($R$63=0,0,R48/$R$63)</f>
        <v/>
      </c>
      <c r="T48" s="7" t="n">
        <v>0.01</v>
      </c>
      <c r="U48" s="5" t="inlineStr">
        <is>
          <t>not selected</t>
        </is>
      </c>
    </row>
    <row r="49">
      <c r="A49" s="5" t="inlineStr">
        <is>
          <t>DJ30</t>
        </is>
      </c>
      <c r="B49" s="5" t="inlineStr">
        <is>
          <t>2026-06-26</t>
        </is>
      </c>
      <c r="C49" s="5" t="inlineStr">
        <is>
          <t>DIA</t>
        </is>
      </c>
      <c r="D49" s="5" t="inlineStr">
        <is>
          <t>KO</t>
        </is>
      </c>
      <c r="E49" s="5" t="inlineStr">
        <is>
          <t>KO</t>
        </is>
      </c>
      <c r="F49" s="5" t="inlineStr">
        <is>
          <t>-</t>
        </is>
      </c>
      <c r="G49" s="6" t="n">
        <v>80.64</v>
      </c>
      <c r="H49" s="5">
        <f>P18</f>
        <v/>
      </c>
      <c r="I49" s="8">
        <f>Q18</f>
        <v/>
      </c>
      <c r="J49" s="6">
        <f>I49*G49</f>
        <v/>
      </c>
      <c r="K49" s="7">
        <f>IF($J$63=0,0,J49/$J$63)</f>
        <v/>
      </c>
      <c r="L49" s="5" t="inlineStr">
        <is>
          <t>SELECTED</t>
        </is>
      </c>
      <c r="M49" s="7" t="n">
        <v>0.2</v>
      </c>
      <c r="N49" s="6">
        <f>M49*$J$63-J49</f>
        <v/>
      </c>
      <c r="O49" s="8">
        <f>IF(G49=0,0,N49/G49)</f>
        <v/>
      </c>
      <c r="P49" s="5">
        <f>IF(M49&gt;0,D49,"")</f>
        <v/>
      </c>
      <c r="Q49" s="8">
        <f>I49+O49</f>
        <v/>
      </c>
      <c r="R49" s="6">
        <f>Q49*G49</f>
        <v/>
      </c>
      <c r="S49" s="7">
        <f>IF($R$63=0,0,R49/$R$63)</f>
        <v/>
      </c>
      <c r="T49" s="7" t="n">
        <v>0.01</v>
      </c>
      <c r="U49" s="5" t="inlineStr">
        <is>
          <t>remained in weekly selection</t>
        </is>
      </c>
    </row>
    <row r="50">
      <c r="A50" s="5" t="inlineStr">
        <is>
          <t>DJ30</t>
        </is>
      </c>
      <c r="B50" s="5" t="inlineStr">
        <is>
          <t>2026-06-26</t>
        </is>
      </c>
      <c r="C50" s="5" t="inlineStr">
        <is>
          <t>DIA</t>
        </is>
      </c>
      <c r="D50" s="5" t="inlineStr">
        <is>
          <t>MCD</t>
        </is>
      </c>
      <c r="E50" s="5" t="inlineStr">
        <is>
          <t>MCD</t>
        </is>
      </c>
      <c r="F50" s="5" t="inlineStr">
        <is>
          <t>-</t>
        </is>
      </c>
      <c r="G50" s="6" t="n">
        <v>101</v>
      </c>
      <c r="H50" s="5">
        <f>P19</f>
        <v/>
      </c>
      <c r="I50" s="8">
        <f>Q19</f>
        <v/>
      </c>
      <c r="J50" s="6">
        <f>I50*G50</f>
        <v/>
      </c>
      <c r="K50" s="7">
        <f>IF($J$63=0,0,J50/$J$63)</f>
        <v/>
      </c>
      <c r="L50" s="5" t="inlineStr">
        <is>
          <t>REJECTED</t>
        </is>
      </c>
      <c r="M50" s="7" t="n">
        <v>0</v>
      </c>
      <c r="N50" s="6">
        <f>M50*$J$63-J50</f>
        <v/>
      </c>
      <c r="O50" s="8">
        <f>IF(G50=0,0,N50/G50)</f>
        <v/>
      </c>
      <c r="P50" s="5">
        <f>IF(M50&gt;0,D50,"")</f>
        <v/>
      </c>
      <c r="Q50" s="8">
        <f>I50+O50</f>
        <v/>
      </c>
      <c r="R50" s="6">
        <f>Q50*G50</f>
        <v/>
      </c>
      <c r="S50" s="7">
        <f>IF($R$63=0,0,R50/$R$63)</f>
        <v/>
      </c>
      <c r="T50" s="7" t="n">
        <v>0.01</v>
      </c>
      <c r="U50" s="5" t="inlineStr">
        <is>
          <t>not selected</t>
        </is>
      </c>
    </row>
    <row r="51">
      <c r="A51" s="5" t="inlineStr">
        <is>
          <t>DJ30</t>
        </is>
      </c>
      <c r="B51" s="5" t="inlineStr">
        <is>
          <t>2026-06-26</t>
        </is>
      </c>
      <c r="C51" s="5" t="inlineStr">
        <is>
          <t>DIA</t>
        </is>
      </c>
      <c r="D51" s="5" t="inlineStr">
        <is>
          <t>MMM</t>
        </is>
      </c>
      <c r="E51" s="5" t="inlineStr">
        <is>
          <t>MMM</t>
        </is>
      </c>
      <c r="F51" s="5" t="inlineStr">
        <is>
          <t>-</t>
        </is>
      </c>
      <c r="G51" s="6" t="n">
        <v>101.2</v>
      </c>
      <c r="H51" s="5">
        <f>P20</f>
        <v/>
      </c>
      <c r="I51" s="8">
        <f>Q20</f>
        <v/>
      </c>
      <c r="J51" s="6">
        <f>I51*G51</f>
        <v/>
      </c>
      <c r="K51" s="7">
        <f>IF($J$63=0,0,J51/$J$63)</f>
        <v/>
      </c>
      <c r="L51" s="5" t="inlineStr">
        <is>
          <t>REJECTED</t>
        </is>
      </c>
      <c r="M51" s="7" t="n">
        <v>0</v>
      </c>
      <c r="N51" s="6">
        <f>M51*$J$63-J51</f>
        <v/>
      </c>
      <c r="O51" s="8">
        <f>IF(G51=0,0,N51/G51)</f>
        <v/>
      </c>
      <c r="P51" s="5">
        <f>IF(M51&gt;0,D51,"")</f>
        <v/>
      </c>
      <c r="Q51" s="8">
        <f>I51+O51</f>
        <v/>
      </c>
      <c r="R51" s="6">
        <f>Q51*G51</f>
        <v/>
      </c>
      <c r="S51" s="7">
        <f>IF($R$63=0,0,R51/$R$63)</f>
        <v/>
      </c>
      <c r="T51" s="7" t="n">
        <v>0.01</v>
      </c>
      <c r="U51" s="5" t="inlineStr">
        <is>
          <t>not selected</t>
        </is>
      </c>
    </row>
    <row r="52">
      <c r="A52" s="5" t="inlineStr">
        <is>
          <t>DJ30</t>
        </is>
      </c>
      <c r="B52" s="5" t="inlineStr">
        <is>
          <t>2026-06-26</t>
        </is>
      </c>
      <c r="C52" s="5" t="inlineStr">
        <is>
          <t>DIA</t>
        </is>
      </c>
      <c r="D52" s="5" t="inlineStr">
        <is>
          <t>MRK</t>
        </is>
      </c>
      <c r="E52" s="5" t="inlineStr">
        <is>
          <t>MRK</t>
        </is>
      </c>
      <c r="F52" s="5" t="inlineStr">
        <is>
          <t>-</t>
        </is>
      </c>
      <c r="G52" s="6" t="n">
        <v>101.4</v>
      </c>
      <c r="H52" s="5">
        <f>P21</f>
        <v/>
      </c>
      <c r="I52" s="8">
        <f>Q21</f>
        <v/>
      </c>
      <c r="J52" s="6">
        <f>I52*G52</f>
        <v/>
      </c>
      <c r="K52" s="7">
        <f>IF($J$63=0,0,J52/$J$63)</f>
        <v/>
      </c>
      <c r="L52" s="5" t="inlineStr">
        <is>
          <t>REJECTED</t>
        </is>
      </c>
      <c r="M52" s="7" t="n">
        <v>0</v>
      </c>
      <c r="N52" s="6">
        <f>M52*$J$63-J52</f>
        <v/>
      </c>
      <c r="O52" s="8">
        <f>IF(G52=0,0,N52/G52)</f>
        <v/>
      </c>
      <c r="P52" s="5">
        <f>IF(M52&gt;0,D52,"")</f>
        <v/>
      </c>
      <c r="Q52" s="8">
        <f>I52+O52</f>
        <v/>
      </c>
      <c r="R52" s="6">
        <f>Q52*G52</f>
        <v/>
      </c>
      <c r="S52" s="7">
        <f>IF($R$63=0,0,R52/$R$63)</f>
        <v/>
      </c>
      <c r="T52" s="7" t="n">
        <v>0.01</v>
      </c>
      <c r="U52" s="5" t="inlineStr">
        <is>
          <t>not selected</t>
        </is>
      </c>
    </row>
    <row r="53">
      <c r="A53" s="5" t="inlineStr">
        <is>
          <t>DJ30</t>
        </is>
      </c>
      <c r="B53" s="5" t="inlineStr">
        <is>
          <t>2026-06-26</t>
        </is>
      </c>
      <c r="C53" s="5" t="inlineStr">
        <is>
          <t>DIA</t>
        </is>
      </c>
      <c r="D53" s="5" t="inlineStr">
        <is>
          <t>MSFT</t>
        </is>
      </c>
      <c r="E53" s="5" t="inlineStr">
        <is>
          <t>MSFT</t>
        </is>
      </c>
      <c r="F53" s="5" t="inlineStr">
        <is>
          <t>-</t>
        </is>
      </c>
      <c r="G53" s="6" t="n">
        <v>101.6</v>
      </c>
      <c r="H53" s="5">
        <f>P22</f>
        <v/>
      </c>
      <c r="I53" s="8">
        <f>Q22</f>
        <v/>
      </c>
      <c r="J53" s="6">
        <f>I53*G53</f>
        <v/>
      </c>
      <c r="K53" s="7">
        <f>IF($J$63=0,0,J53/$J$63)</f>
        <v/>
      </c>
      <c r="L53" s="5" t="inlineStr">
        <is>
          <t>REJECTED</t>
        </is>
      </c>
      <c r="M53" s="7" t="n">
        <v>0</v>
      </c>
      <c r="N53" s="6">
        <f>M53*$J$63-J53</f>
        <v/>
      </c>
      <c r="O53" s="8">
        <f>IF(G53=0,0,N53/G53)</f>
        <v/>
      </c>
      <c r="P53" s="5">
        <f>IF(M53&gt;0,D53,"")</f>
        <v/>
      </c>
      <c r="Q53" s="8">
        <f>I53+O53</f>
        <v/>
      </c>
      <c r="R53" s="6">
        <f>Q53*G53</f>
        <v/>
      </c>
      <c r="S53" s="7">
        <f>IF($R$63=0,0,R53/$R$63)</f>
        <v/>
      </c>
      <c r="T53" s="7" t="n">
        <v>0.01</v>
      </c>
      <c r="U53" s="5" t="inlineStr">
        <is>
          <t>not selected</t>
        </is>
      </c>
    </row>
    <row r="54">
      <c r="A54" s="5" t="inlineStr">
        <is>
          <t>DJ30</t>
        </is>
      </c>
      <c r="B54" s="5" t="inlineStr">
        <is>
          <t>2026-06-26</t>
        </is>
      </c>
      <c r="C54" s="5" t="inlineStr">
        <is>
          <t>DIA</t>
        </is>
      </c>
      <c r="D54" s="5" t="inlineStr">
        <is>
          <t>NKE</t>
        </is>
      </c>
      <c r="E54" s="5" t="inlineStr">
        <is>
          <t>NKE</t>
        </is>
      </c>
      <c r="F54" s="5" t="inlineStr">
        <is>
          <t>-</t>
        </is>
      </c>
      <c r="G54" s="6" t="n">
        <v>100.4</v>
      </c>
      <c r="H54" s="5">
        <f>P23</f>
        <v/>
      </c>
      <c r="I54" s="8">
        <f>Q23</f>
        <v/>
      </c>
      <c r="J54" s="6">
        <f>I54*G54</f>
        <v/>
      </c>
      <c r="K54" s="7">
        <f>IF($J$63=0,0,J54/$J$63)</f>
        <v/>
      </c>
      <c r="L54" s="5" t="inlineStr">
        <is>
          <t>SELECTED</t>
        </is>
      </c>
      <c r="M54" s="7" t="n">
        <v>0.2</v>
      </c>
      <c r="N54" s="6">
        <f>M54*$J$63-J54</f>
        <v/>
      </c>
      <c r="O54" s="8">
        <f>IF(G54=0,0,N54/G54)</f>
        <v/>
      </c>
      <c r="P54" s="5">
        <f>IF(M54&gt;0,D54,"")</f>
        <v/>
      </c>
      <c r="Q54" s="8">
        <f>I54+O54</f>
        <v/>
      </c>
      <c r="R54" s="6">
        <f>Q54*G54</f>
        <v/>
      </c>
      <c r="S54" s="7">
        <f>IF($R$63=0,0,R54/$R$63)</f>
        <v/>
      </c>
      <c r="T54" s="7" t="n">
        <v>0.01</v>
      </c>
      <c r="U54" s="5" t="inlineStr">
        <is>
          <t>remained in weekly selection</t>
        </is>
      </c>
    </row>
    <row r="55">
      <c r="A55" s="5" t="inlineStr">
        <is>
          <t>DJ30</t>
        </is>
      </c>
      <c r="B55" s="5" t="inlineStr">
        <is>
          <t>2026-06-26</t>
        </is>
      </c>
      <c r="C55" s="5" t="inlineStr">
        <is>
          <t>DIA</t>
        </is>
      </c>
      <c r="D55" s="5" t="inlineStr">
        <is>
          <t>NVDA</t>
        </is>
      </c>
      <c r="E55" s="5" t="inlineStr">
        <is>
          <t>NVDA</t>
        </is>
      </c>
      <c r="F55" s="5" t="inlineStr">
        <is>
          <t>-</t>
        </is>
      </c>
      <c r="G55" s="6" t="n">
        <v>100.6</v>
      </c>
      <c r="H55" s="5">
        <f>P24</f>
        <v/>
      </c>
      <c r="I55" s="8">
        <f>Q24</f>
        <v/>
      </c>
      <c r="J55" s="6">
        <f>I55*G55</f>
        <v/>
      </c>
      <c r="K55" s="7">
        <f>IF($J$63=0,0,J55/$J$63)</f>
        <v/>
      </c>
      <c r="L55" s="5" t="inlineStr">
        <is>
          <t>REJECTED</t>
        </is>
      </c>
      <c r="M55" s="7" t="n">
        <v>0</v>
      </c>
      <c r="N55" s="6">
        <f>M55*$J$63-J55</f>
        <v/>
      </c>
      <c r="O55" s="8">
        <f>IF(G55=0,0,N55/G55)</f>
        <v/>
      </c>
      <c r="P55" s="5">
        <f>IF(M55&gt;0,D55,"")</f>
        <v/>
      </c>
      <c r="Q55" s="8">
        <f>I55+O55</f>
        <v/>
      </c>
      <c r="R55" s="6">
        <f>Q55*G55</f>
        <v/>
      </c>
      <c r="S55" s="7">
        <f>IF($R$63=0,0,R55/$R$63)</f>
        <v/>
      </c>
      <c r="T55" s="7" t="n">
        <v>0.01</v>
      </c>
      <c r="U55" s="5" t="inlineStr">
        <is>
          <t>not selected</t>
        </is>
      </c>
    </row>
    <row r="56">
      <c r="A56" s="5" t="inlineStr">
        <is>
          <t>DJ30</t>
        </is>
      </c>
      <c r="B56" s="5" t="inlineStr">
        <is>
          <t>2026-06-26</t>
        </is>
      </c>
      <c r="C56" s="5" t="inlineStr">
        <is>
          <t>DIA</t>
        </is>
      </c>
      <c r="D56" s="5" t="inlineStr">
        <is>
          <t>PG</t>
        </is>
      </c>
      <c r="E56" s="5" t="inlineStr">
        <is>
          <t>PG</t>
        </is>
      </c>
      <c r="F56" s="5" t="inlineStr">
        <is>
          <t>-</t>
        </is>
      </c>
      <c r="G56" s="6" t="n">
        <v>100.8</v>
      </c>
      <c r="H56" s="5">
        <f>P25</f>
        <v/>
      </c>
      <c r="I56" s="8">
        <f>Q25</f>
        <v/>
      </c>
      <c r="J56" s="6">
        <f>I56*G56</f>
        <v/>
      </c>
      <c r="K56" s="7">
        <f>IF($J$63=0,0,J56/$J$63)</f>
        <v/>
      </c>
      <c r="L56" s="5" t="inlineStr">
        <is>
          <t>REJECTED</t>
        </is>
      </c>
      <c r="M56" s="7" t="n">
        <v>0</v>
      </c>
      <c r="N56" s="6">
        <f>M56*$J$63-J56</f>
        <v/>
      </c>
      <c r="O56" s="8">
        <f>IF(G56=0,0,N56/G56)</f>
        <v/>
      </c>
      <c r="P56" s="5">
        <f>IF(M56&gt;0,D56,"")</f>
        <v/>
      </c>
      <c r="Q56" s="8">
        <f>I56+O56</f>
        <v/>
      </c>
      <c r="R56" s="6">
        <f>Q56*G56</f>
        <v/>
      </c>
      <c r="S56" s="7">
        <f>IF($R$63=0,0,R56/$R$63)</f>
        <v/>
      </c>
      <c r="T56" s="7" t="n">
        <v>0.01</v>
      </c>
      <c r="U56" s="5" t="inlineStr">
        <is>
          <t>not selected</t>
        </is>
      </c>
    </row>
    <row r="57">
      <c r="A57" s="5" t="inlineStr">
        <is>
          <t>DJ30</t>
        </is>
      </c>
      <c r="B57" s="5" t="inlineStr">
        <is>
          <t>2026-06-26</t>
        </is>
      </c>
      <c r="C57" s="5" t="inlineStr">
        <is>
          <t>DIA</t>
        </is>
      </c>
      <c r="D57" s="5" t="inlineStr">
        <is>
          <t>SHW</t>
        </is>
      </c>
      <c r="E57" s="5" t="inlineStr">
        <is>
          <t>SHW</t>
        </is>
      </c>
      <c r="F57" s="5" t="inlineStr">
        <is>
          <t>-</t>
        </is>
      </c>
      <c r="G57" s="6" t="n">
        <v>101</v>
      </c>
      <c r="H57" s="5">
        <f>P26</f>
        <v/>
      </c>
      <c r="I57" s="8">
        <f>Q26</f>
        <v/>
      </c>
      <c r="J57" s="6">
        <f>I57*G57</f>
        <v/>
      </c>
      <c r="K57" s="7">
        <f>IF($J$63=0,0,J57/$J$63)</f>
        <v/>
      </c>
      <c r="L57" s="5" t="inlineStr">
        <is>
          <t>REJECTED</t>
        </is>
      </c>
      <c r="M57" s="7" t="n">
        <v>0</v>
      </c>
      <c r="N57" s="6">
        <f>M57*$J$63-J57</f>
        <v/>
      </c>
      <c r="O57" s="8">
        <f>IF(G57=0,0,N57/G57)</f>
        <v/>
      </c>
      <c r="P57" s="5">
        <f>IF(M57&gt;0,D57,"")</f>
        <v/>
      </c>
      <c r="Q57" s="8">
        <f>I57+O57</f>
        <v/>
      </c>
      <c r="R57" s="6">
        <f>Q57*G57</f>
        <v/>
      </c>
      <c r="S57" s="7">
        <f>IF($R$63=0,0,R57/$R$63)</f>
        <v/>
      </c>
      <c r="T57" s="7" t="n">
        <v>0.01</v>
      </c>
      <c r="U57" s="5" t="inlineStr">
        <is>
          <t>not selected</t>
        </is>
      </c>
    </row>
    <row r="58">
      <c r="A58" s="5" t="inlineStr">
        <is>
          <t>DJ30</t>
        </is>
      </c>
      <c r="B58" s="5" t="inlineStr">
        <is>
          <t>2026-06-26</t>
        </is>
      </c>
      <c r="C58" s="5" t="inlineStr">
        <is>
          <t>DIA</t>
        </is>
      </c>
      <c r="D58" s="5" t="inlineStr">
        <is>
          <t>TRV</t>
        </is>
      </c>
      <c r="E58" s="5" t="inlineStr">
        <is>
          <t>TRV</t>
        </is>
      </c>
      <c r="F58" s="5" t="inlineStr">
        <is>
          <t>-</t>
        </is>
      </c>
      <c r="G58" s="6" t="n">
        <v>101.2</v>
      </c>
      <c r="H58" s="5">
        <f>P27</f>
        <v/>
      </c>
      <c r="I58" s="8">
        <f>Q27</f>
        <v/>
      </c>
      <c r="J58" s="6">
        <f>I58*G58</f>
        <v/>
      </c>
      <c r="K58" s="7">
        <f>IF($J$63=0,0,J58/$J$63)</f>
        <v/>
      </c>
      <c r="L58" s="5" t="inlineStr">
        <is>
          <t>REJECTED</t>
        </is>
      </c>
      <c r="M58" s="7" t="n">
        <v>0</v>
      </c>
      <c r="N58" s="6">
        <f>M58*$J$63-J58</f>
        <v/>
      </c>
      <c r="O58" s="8">
        <f>IF(G58=0,0,N58/G58)</f>
        <v/>
      </c>
      <c r="P58" s="5">
        <f>IF(M58&gt;0,D58,"")</f>
        <v/>
      </c>
      <c r="Q58" s="8">
        <f>I58+O58</f>
        <v/>
      </c>
      <c r="R58" s="6">
        <f>Q58*G58</f>
        <v/>
      </c>
      <c r="S58" s="7">
        <f>IF($R$63=0,0,R58/$R$63)</f>
        <v/>
      </c>
      <c r="T58" s="7" t="n">
        <v>0.01</v>
      </c>
      <c r="U58" s="5" t="inlineStr">
        <is>
          <t>not selected</t>
        </is>
      </c>
    </row>
    <row r="59">
      <c r="A59" s="5" t="inlineStr">
        <is>
          <t>DJ30</t>
        </is>
      </c>
      <c r="B59" s="5" t="inlineStr">
        <is>
          <t>2026-06-26</t>
        </is>
      </c>
      <c r="C59" s="5" t="inlineStr">
        <is>
          <t>DIA</t>
        </is>
      </c>
      <c r="D59" s="5" t="inlineStr">
        <is>
          <t>UNH</t>
        </is>
      </c>
      <c r="E59" s="5" t="inlineStr">
        <is>
          <t>UNH</t>
        </is>
      </c>
      <c r="F59" s="5" t="inlineStr">
        <is>
          <t>-</t>
        </is>
      </c>
      <c r="G59" s="6" t="n">
        <v>101.4</v>
      </c>
      <c r="H59" s="5">
        <f>P28</f>
        <v/>
      </c>
      <c r="I59" s="8">
        <f>Q28</f>
        <v/>
      </c>
      <c r="J59" s="6">
        <f>I59*G59</f>
        <v/>
      </c>
      <c r="K59" s="7">
        <f>IF($J$63=0,0,J59/$J$63)</f>
        <v/>
      </c>
      <c r="L59" s="5" t="inlineStr">
        <is>
          <t>REJECTED</t>
        </is>
      </c>
      <c r="M59" s="7" t="n">
        <v>0</v>
      </c>
      <c r="N59" s="6">
        <f>M59*$J$63-J59</f>
        <v/>
      </c>
      <c r="O59" s="8">
        <f>IF(G59=0,0,N59/G59)</f>
        <v/>
      </c>
      <c r="P59" s="5">
        <f>IF(M59&gt;0,D59,"")</f>
        <v/>
      </c>
      <c r="Q59" s="8">
        <f>I59+O59</f>
        <v/>
      </c>
      <c r="R59" s="6">
        <f>Q59*G59</f>
        <v/>
      </c>
      <c r="S59" s="7">
        <f>IF($R$63=0,0,R59/$R$63)</f>
        <v/>
      </c>
      <c r="T59" s="7" t="n">
        <v>0.01</v>
      </c>
      <c r="U59" s="5" t="inlineStr">
        <is>
          <t>not selected</t>
        </is>
      </c>
    </row>
    <row r="60">
      <c r="A60" s="5" t="inlineStr">
        <is>
          <t>DJ30</t>
        </is>
      </c>
      <c r="B60" s="5" t="inlineStr">
        <is>
          <t>2026-06-26</t>
        </is>
      </c>
      <c r="C60" s="5" t="inlineStr">
        <is>
          <t>DIA</t>
        </is>
      </c>
      <c r="D60" s="5" t="inlineStr">
        <is>
          <t>V</t>
        </is>
      </c>
      <c r="E60" s="5" t="inlineStr">
        <is>
          <t>V</t>
        </is>
      </c>
      <c r="F60" s="5" t="inlineStr">
        <is>
          <t>-</t>
        </is>
      </c>
      <c r="G60" s="6" t="n">
        <v>101.6</v>
      </c>
      <c r="H60" s="5">
        <f>P29</f>
        <v/>
      </c>
      <c r="I60" s="8">
        <f>Q29</f>
        <v/>
      </c>
      <c r="J60" s="6">
        <f>I60*G60</f>
        <v/>
      </c>
      <c r="K60" s="7">
        <f>IF($J$63=0,0,J60/$J$63)</f>
        <v/>
      </c>
      <c r="L60" s="5" t="inlineStr">
        <is>
          <t>REJECTED</t>
        </is>
      </c>
      <c r="M60" s="7" t="n">
        <v>0</v>
      </c>
      <c r="N60" s="6">
        <f>M60*$J$63-J60</f>
        <v/>
      </c>
      <c r="O60" s="8">
        <f>IF(G60=0,0,N60/G60)</f>
        <v/>
      </c>
      <c r="P60" s="5">
        <f>IF(M60&gt;0,D60,"")</f>
        <v/>
      </c>
      <c r="Q60" s="8">
        <f>I60+O60</f>
        <v/>
      </c>
      <c r="R60" s="6">
        <f>Q60*G60</f>
        <v/>
      </c>
      <c r="S60" s="7">
        <f>IF($R$63=0,0,R60/$R$63)</f>
        <v/>
      </c>
      <c r="T60" s="7" t="n">
        <v>0.01</v>
      </c>
      <c r="U60" s="5" t="inlineStr">
        <is>
          <t>not selected</t>
        </is>
      </c>
    </row>
    <row r="61">
      <c r="A61" s="5" t="inlineStr">
        <is>
          <t>DJ30</t>
        </is>
      </c>
      <c r="B61" s="5" t="inlineStr">
        <is>
          <t>2026-06-26</t>
        </is>
      </c>
      <c r="C61" s="5" t="inlineStr">
        <is>
          <t>DIA</t>
        </is>
      </c>
      <c r="D61" s="5" t="inlineStr">
        <is>
          <t>VZ</t>
        </is>
      </c>
      <c r="E61" s="5" t="inlineStr">
        <is>
          <t>VZ</t>
        </is>
      </c>
      <c r="F61" s="5" t="inlineStr">
        <is>
          <t>-</t>
        </is>
      </c>
      <c r="G61" s="6" t="n">
        <v>100.4</v>
      </c>
      <c r="H61" s="5">
        <f>P30</f>
        <v/>
      </c>
      <c r="I61" s="8">
        <f>Q30</f>
        <v/>
      </c>
      <c r="J61" s="6">
        <f>I61*G61</f>
        <v/>
      </c>
      <c r="K61" s="7">
        <f>IF($J$63=0,0,J61/$J$63)</f>
        <v/>
      </c>
      <c r="L61" s="5" t="inlineStr">
        <is>
          <t>REJECTED</t>
        </is>
      </c>
      <c r="M61" s="7" t="n">
        <v>0</v>
      </c>
      <c r="N61" s="6">
        <f>M61*$J$63-J61</f>
        <v/>
      </c>
      <c r="O61" s="8">
        <f>IF(G61=0,0,N61/G61)</f>
        <v/>
      </c>
      <c r="P61" s="5">
        <f>IF(M61&gt;0,D61,"")</f>
        <v/>
      </c>
      <c r="Q61" s="8">
        <f>I61+O61</f>
        <v/>
      </c>
      <c r="R61" s="6">
        <f>Q61*G61</f>
        <v/>
      </c>
      <c r="S61" s="7">
        <f>IF($R$63=0,0,R61/$R$63)</f>
        <v/>
      </c>
      <c r="T61" s="7" t="n">
        <v>0.01</v>
      </c>
      <c r="U61" s="5" t="inlineStr">
        <is>
          <t>not selected</t>
        </is>
      </c>
    </row>
    <row r="62">
      <c r="A62" s="5" t="inlineStr">
        <is>
          <t>DJ30</t>
        </is>
      </c>
      <c r="B62" s="5" t="inlineStr">
        <is>
          <t>2026-06-26</t>
        </is>
      </c>
      <c r="C62" s="5" t="inlineStr">
        <is>
          <t>DIA</t>
        </is>
      </c>
      <c r="D62" s="5" t="inlineStr">
        <is>
          <t>WMT</t>
        </is>
      </c>
      <c r="E62" s="5" t="inlineStr">
        <is>
          <t>WMT</t>
        </is>
      </c>
      <c r="F62" s="5" t="inlineStr">
        <is>
          <t>-</t>
        </is>
      </c>
      <c r="G62" s="6" t="n">
        <v>100.6</v>
      </c>
      <c r="H62" s="5">
        <f>P31</f>
        <v/>
      </c>
      <c r="I62" s="8">
        <f>Q31</f>
        <v/>
      </c>
      <c r="J62" s="6">
        <f>I62*G62</f>
        <v/>
      </c>
      <c r="K62" s="7">
        <f>IF($J$63=0,0,J62/$J$63)</f>
        <v/>
      </c>
      <c r="L62" s="5" t="inlineStr">
        <is>
          <t>REJECTED</t>
        </is>
      </c>
      <c r="M62" s="7" t="n">
        <v>0</v>
      </c>
      <c r="N62" s="6">
        <f>M62*$J$63-J62</f>
        <v/>
      </c>
      <c r="O62" s="8">
        <f>IF(G62=0,0,N62/G62)</f>
        <v/>
      </c>
      <c r="P62" s="5">
        <f>IF(M62&gt;0,D62,"")</f>
        <v/>
      </c>
      <c r="Q62" s="8">
        <f>I62+O62</f>
        <v/>
      </c>
      <c r="R62" s="6">
        <f>Q62*G62</f>
        <v/>
      </c>
      <c r="S62" s="7">
        <f>IF($R$63=0,0,R62/$R$63)</f>
        <v/>
      </c>
      <c r="T62" s="7" t="n">
        <v>0.01</v>
      </c>
      <c r="U62" s="5" t="inlineStr">
        <is>
          <t>not selected</t>
        </is>
      </c>
    </row>
    <row r="63">
      <c r="A63" s="9" t="inlineStr">
        <is>
          <t>DJ30</t>
        </is>
      </c>
      <c r="B63" s="9" t="inlineStr">
        <is>
          <t>2026-06-26</t>
        </is>
      </c>
      <c r="C63" s="9" t="inlineStr">
        <is>
          <t>DIA</t>
        </is>
      </c>
      <c r="D63" s="9" t="inlineStr">
        <is>
          <t>Tot Portfolio</t>
        </is>
      </c>
      <c r="E63" s="9" t="inlineStr"/>
      <c r="F63" s="9" t="inlineStr"/>
      <c r="G63" s="10" t="inlineStr"/>
      <c r="H63" s="9" t="inlineStr"/>
      <c r="I63" s="11" t="inlineStr"/>
      <c r="J63" s="10">
        <f>SUM(J33:J62)</f>
        <v/>
      </c>
      <c r="K63" s="12">
        <f>SUM(K33:K62)</f>
        <v/>
      </c>
      <c r="L63" s="9" t="inlineStr">
        <is>
          <t>TOTAL</t>
        </is>
      </c>
      <c r="M63" s="12">
        <f>SUM(M33:M62)</f>
        <v/>
      </c>
      <c r="N63" s="10">
        <f>SUM(N33:N62)</f>
        <v/>
      </c>
      <c r="O63" s="11">
        <f>SUM(O33:O62)</f>
        <v/>
      </c>
      <c r="P63" s="9" t="inlineStr"/>
      <c r="Q63" s="11" t="inlineStr"/>
      <c r="R63" s="10">
        <f>SUM(R33:R62)</f>
        <v/>
      </c>
      <c r="S63" s="12">
        <f>SUM(S33:S62)</f>
        <v/>
      </c>
      <c r="T63" s="12" t="n">
        <v>0.01</v>
      </c>
      <c r="U63" s="9" t="inlineStr"/>
    </row>
    <row r="64">
      <c r="A64" s="5" t="inlineStr">
        <is>
          <t>DJ30</t>
        </is>
      </c>
      <c r="B64" s="5" t="inlineStr">
        <is>
          <t>2026-07-03</t>
        </is>
      </c>
      <c r="C64" s="5" t="inlineStr">
        <is>
          <t>DIA</t>
        </is>
      </c>
      <c r="D64" s="5" t="inlineStr">
        <is>
          <t>AAPL</t>
        </is>
      </c>
      <c r="E64" s="5" t="inlineStr">
        <is>
          <t>AAPL</t>
        </is>
      </c>
      <c r="F64" s="5" t="inlineStr">
        <is>
          <t>-</t>
        </is>
      </c>
      <c r="G64" s="6" t="n">
        <v>111.54</v>
      </c>
      <c r="H64" s="5">
        <f>P33</f>
        <v/>
      </c>
      <c r="I64" s="8">
        <f>Q33</f>
        <v/>
      </c>
      <c r="J64" s="6">
        <f>I64*G64</f>
        <v/>
      </c>
      <c r="K64" s="7">
        <f>IF($J$94=0,0,J64/$J$94)</f>
        <v/>
      </c>
      <c r="L64" s="5" t="inlineStr">
        <is>
          <t>WATCHLIST</t>
        </is>
      </c>
      <c r="M64" s="7" t="n">
        <v>0</v>
      </c>
      <c r="N64" s="6">
        <f>M64*$J$94-J64</f>
        <v/>
      </c>
      <c r="O64" s="8">
        <f>IF(G64=0,0,N64/G64)</f>
        <v/>
      </c>
      <c r="P64" s="5">
        <f>IF(M64&gt;0,D64,"")</f>
        <v/>
      </c>
      <c r="Q64" s="8">
        <f>I64+O64</f>
        <v/>
      </c>
      <c r="R64" s="6">
        <f>Q64*G64</f>
        <v/>
      </c>
      <c r="S64" s="7">
        <f>IF($R$94=0,0,R64/$R$94)</f>
        <v/>
      </c>
      <c r="T64" s="7" t="n">
        <v>-0.0042</v>
      </c>
      <c r="U64" s="5" t="inlineStr">
        <is>
          <t>not selected</t>
        </is>
      </c>
    </row>
    <row r="65">
      <c r="A65" s="5" t="inlineStr">
        <is>
          <t>DJ30</t>
        </is>
      </c>
      <c r="B65" s="5" t="inlineStr">
        <is>
          <t>2026-07-03</t>
        </is>
      </c>
      <c r="C65" s="5" t="inlineStr">
        <is>
          <t>DIA</t>
        </is>
      </c>
      <c r="D65" s="5" t="inlineStr">
        <is>
          <t>AMGN</t>
        </is>
      </c>
      <c r="E65" s="5" t="inlineStr">
        <is>
          <t>AMGN</t>
        </is>
      </c>
      <c r="F65" s="5" t="inlineStr">
        <is>
          <t>-</t>
        </is>
      </c>
      <c r="G65" s="6" t="n">
        <v>101.6</v>
      </c>
      <c r="H65" s="5">
        <f>P34</f>
        <v/>
      </c>
      <c r="I65" s="8">
        <f>Q34</f>
        <v/>
      </c>
      <c r="J65" s="6">
        <f>I65*G65</f>
        <v/>
      </c>
      <c r="K65" s="7">
        <f>IF($J$94=0,0,J65/$J$94)</f>
        <v/>
      </c>
      <c r="L65" s="5" t="inlineStr">
        <is>
          <t>SELECTED</t>
        </is>
      </c>
      <c r="M65" s="7" t="n">
        <v>0.2</v>
      </c>
      <c r="N65" s="6">
        <f>M65*$J$94-J65</f>
        <v/>
      </c>
      <c r="O65" s="8">
        <f>IF(G65=0,0,N65/G65)</f>
        <v/>
      </c>
      <c r="P65" s="5">
        <f>IF(M65&gt;0,D65,"")</f>
        <v/>
      </c>
      <c r="Q65" s="8">
        <f>I65+O65</f>
        <v/>
      </c>
      <c r="R65" s="6">
        <f>Q65*G65</f>
        <v/>
      </c>
      <c r="S65" s="7">
        <f>IF($R$94=0,0,R65/$R$94)</f>
        <v/>
      </c>
      <c r="T65" s="7" t="n">
        <v>-0.0042</v>
      </c>
      <c r="U65" s="5" t="inlineStr">
        <is>
          <t>remained in weekly selection</t>
        </is>
      </c>
    </row>
    <row r="66">
      <c r="A66" s="5" t="inlineStr">
        <is>
          <t>DJ30</t>
        </is>
      </c>
      <c r="B66" s="5" t="inlineStr">
        <is>
          <t>2026-07-03</t>
        </is>
      </c>
      <c r="C66" s="5" t="inlineStr">
        <is>
          <t>DIA</t>
        </is>
      </c>
      <c r="D66" s="5" t="inlineStr">
        <is>
          <t>AMZN</t>
        </is>
      </c>
      <c r="E66" s="5" t="inlineStr">
        <is>
          <t>AMZN</t>
        </is>
      </c>
      <c r="F66" s="5" t="inlineStr">
        <is>
          <t>-</t>
        </is>
      </c>
      <c r="G66" s="6" t="n">
        <v>101.8</v>
      </c>
      <c r="H66" s="5">
        <f>P35</f>
        <v/>
      </c>
      <c r="I66" s="8">
        <f>Q35</f>
        <v/>
      </c>
      <c r="J66" s="6">
        <f>I66*G66</f>
        <v/>
      </c>
      <c r="K66" s="7">
        <f>IF($J$94=0,0,J66/$J$94)</f>
        <v/>
      </c>
      <c r="L66" s="5" t="inlineStr">
        <is>
          <t>WATCHLIST</t>
        </is>
      </c>
      <c r="M66" s="7" t="n">
        <v>0</v>
      </c>
      <c r="N66" s="6">
        <f>M66*$J$94-J66</f>
        <v/>
      </c>
      <c r="O66" s="8">
        <f>IF(G66=0,0,N66/G66)</f>
        <v/>
      </c>
      <c r="P66" s="5">
        <f>IF(M66&gt;0,D66,"")</f>
        <v/>
      </c>
      <c r="Q66" s="8">
        <f>I66+O66</f>
        <v/>
      </c>
      <c r="R66" s="6">
        <f>Q66*G66</f>
        <v/>
      </c>
      <c r="S66" s="7">
        <f>IF($R$94=0,0,R66/$R$94)</f>
        <v/>
      </c>
      <c r="T66" s="7" t="n">
        <v>-0.0042</v>
      </c>
      <c r="U66" s="5" t="inlineStr">
        <is>
          <t>not selected</t>
        </is>
      </c>
    </row>
    <row r="67">
      <c r="A67" s="5" t="inlineStr">
        <is>
          <t>DJ30</t>
        </is>
      </c>
      <c r="B67" s="5" t="inlineStr">
        <is>
          <t>2026-07-03</t>
        </is>
      </c>
      <c r="C67" s="5" t="inlineStr">
        <is>
          <t>DIA</t>
        </is>
      </c>
      <c r="D67" s="5" t="inlineStr">
        <is>
          <t>AXP</t>
        </is>
      </c>
      <c r="E67" s="5" t="inlineStr">
        <is>
          <t>AXP</t>
        </is>
      </c>
      <c r="F67" s="5" t="inlineStr">
        <is>
          <t>-</t>
        </is>
      </c>
      <c r="G67" s="6" t="n">
        <v>102</v>
      </c>
      <c r="H67" s="5">
        <f>P36</f>
        <v/>
      </c>
      <c r="I67" s="8">
        <f>Q36</f>
        <v/>
      </c>
      <c r="J67" s="6">
        <f>I67*G67</f>
        <v/>
      </c>
      <c r="K67" s="7">
        <f>IF($J$94=0,0,J67/$J$94)</f>
        <v/>
      </c>
      <c r="L67" s="5" t="inlineStr">
        <is>
          <t>WATCHLIST</t>
        </is>
      </c>
      <c r="M67" s="7" t="n">
        <v>0</v>
      </c>
      <c r="N67" s="6">
        <f>M67*$J$94-J67</f>
        <v/>
      </c>
      <c r="O67" s="8">
        <f>IF(G67=0,0,N67/G67)</f>
        <v/>
      </c>
      <c r="P67" s="5">
        <f>IF(M67&gt;0,D67,"")</f>
        <v/>
      </c>
      <c r="Q67" s="8">
        <f>I67+O67</f>
        <v/>
      </c>
      <c r="R67" s="6">
        <f>Q67*G67</f>
        <v/>
      </c>
      <c r="S67" s="7">
        <f>IF($R$94=0,0,R67/$R$94)</f>
        <v/>
      </c>
      <c r="T67" s="7" t="n">
        <v>-0.0042</v>
      </c>
      <c r="U67" s="5" t="inlineStr">
        <is>
          <t>not selected</t>
        </is>
      </c>
    </row>
    <row r="68">
      <c r="A68" s="5" t="inlineStr">
        <is>
          <t>DJ30</t>
        </is>
      </c>
      <c r="B68" s="5" t="inlineStr">
        <is>
          <t>2026-07-03</t>
        </is>
      </c>
      <c r="C68" s="5" t="inlineStr">
        <is>
          <t>DIA</t>
        </is>
      </c>
      <c r="D68" s="5" t="inlineStr">
        <is>
          <t>BA</t>
        </is>
      </c>
      <c r="E68" s="5" t="inlineStr">
        <is>
          <t>BA</t>
        </is>
      </c>
      <c r="F68" s="5" t="inlineStr">
        <is>
          <t>-</t>
        </is>
      </c>
      <c r="G68" s="6" t="n">
        <v>102.2</v>
      </c>
      <c r="H68" s="5">
        <f>P37</f>
        <v/>
      </c>
      <c r="I68" s="8">
        <f>Q37</f>
        <v/>
      </c>
      <c r="J68" s="6">
        <f>I68*G68</f>
        <v/>
      </c>
      <c r="K68" s="7">
        <f>IF($J$94=0,0,J68/$J$94)</f>
        <v/>
      </c>
      <c r="L68" s="5" t="inlineStr">
        <is>
          <t>WATCHLIST</t>
        </is>
      </c>
      <c r="M68" s="7" t="n">
        <v>0</v>
      </c>
      <c r="N68" s="6">
        <f>M68*$J$94-J68</f>
        <v/>
      </c>
      <c r="O68" s="8">
        <f>IF(G68=0,0,N68/G68)</f>
        <v/>
      </c>
      <c r="P68" s="5">
        <f>IF(M68&gt;0,D68,"")</f>
        <v/>
      </c>
      <c r="Q68" s="8">
        <f>I68+O68</f>
        <v/>
      </c>
      <c r="R68" s="6">
        <f>Q68*G68</f>
        <v/>
      </c>
      <c r="S68" s="7">
        <f>IF($R$94=0,0,R68/$R$94)</f>
        <v/>
      </c>
      <c r="T68" s="7" t="n">
        <v>-0.0042</v>
      </c>
      <c r="U68" s="5" t="inlineStr">
        <is>
          <t>not selected</t>
        </is>
      </c>
    </row>
    <row r="69">
      <c r="A69" s="5" t="inlineStr">
        <is>
          <t>DJ30</t>
        </is>
      </c>
      <c r="B69" s="5" t="inlineStr">
        <is>
          <t>2026-07-03</t>
        </is>
      </c>
      <c r="C69" s="5" t="inlineStr">
        <is>
          <t>DIA</t>
        </is>
      </c>
      <c r="D69" s="5" t="inlineStr">
        <is>
          <t>CAT</t>
        </is>
      </c>
      <c r="E69" s="5" t="inlineStr">
        <is>
          <t>CAT</t>
        </is>
      </c>
      <c r="F69" s="5" t="inlineStr">
        <is>
          <t>-</t>
        </is>
      </c>
      <c r="G69" s="6" t="n">
        <v>92.16</v>
      </c>
      <c r="H69" s="5">
        <f>P38</f>
        <v/>
      </c>
      <c r="I69" s="8">
        <f>Q38</f>
        <v/>
      </c>
      <c r="J69" s="6">
        <f>I69*G69</f>
        <v/>
      </c>
      <c r="K69" s="7">
        <f>IF($J$94=0,0,J69/$J$94)</f>
        <v/>
      </c>
      <c r="L69" s="5" t="inlineStr">
        <is>
          <t>SELECTED</t>
        </is>
      </c>
      <c r="M69" s="7" t="n">
        <v>0.2</v>
      </c>
      <c r="N69" s="6">
        <f>M69*$J$94-J69</f>
        <v/>
      </c>
      <c r="O69" s="8">
        <f>IF(G69=0,0,N69/G69)</f>
        <v/>
      </c>
      <c r="P69" s="5">
        <f>IF(M69&gt;0,D69,"")</f>
        <v/>
      </c>
      <c r="Q69" s="8">
        <f>I69+O69</f>
        <v/>
      </c>
      <c r="R69" s="6">
        <f>Q69*G69</f>
        <v/>
      </c>
      <c r="S69" s="7">
        <f>IF($R$94=0,0,R69/$R$94)</f>
        <v/>
      </c>
      <c r="T69" s="7" t="n">
        <v>-0.0042</v>
      </c>
      <c r="U69" s="5" t="inlineStr">
        <is>
          <t>remained in weekly selection</t>
        </is>
      </c>
    </row>
    <row r="70">
      <c r="A70" s="5" t="inlineStr">
        <is>
          <t>DJ30</t>
        </is>
      </c>
      <c r="B70" s="5" t="inlineStr">
        <is>
          <t>2026-07-03</t>
        </is>
      </c>
      <c r="C70" s="5" t="inlineStr">
        <is>
          <t>DIA</t>
        </is>
      </c>
      <c r="D70" s="5" t="inlineStr">
        <is>
          <t>CRM</t>
        </is>
      </c>
      <c r="E70" s="5" t="inlineStr">
        <is>
          <t>CRM</t>
        </is>
      </c>
      <c r="F70" s="5" t="inlineStr">
        <is>
          <t>-</t>
        </is>
      </c>
      <c r="G70" s="6" t="n">
        <v>102.6</v>
      </c>
      <c r="H70" s="5">
        <f>P39</f>
        <v/>
      </c>
      <c r="I70" s="8">
        <f>Q39</f>
        <v/>
      </c>
      <c r="J70" s="6">
        <f>I70*G70</f>
        <v/>
      </c>
      <c r="K70" s="7">
        <f>IF($J$94=0,0,J70/$J$94)</f>
        <v/>
      </c>
      <c r="L70" s="5" t="inlineStr">
        <is>
          <t>WATCHLIST</t>
        </is>
      </c>
      <c r="M70" s="7" t="n">
        <v>0</v>
      </c>
      <c r="N70" s="6">
        <f>M70*$J$94-J70</f>
        <v/>
      </c>
      <c r="O70" s="8">
        <f>IF(G70=0,0,N70/G70)</f>
        <v/>
      </c>
      <c r="P70" s="5">
        <f>IF(M70&gt;0,D70,"")</f>
        <v/>
      </c>
      <c r="Q70" s="8">
        <f>I70+O70</f>
        <v/>
      </c>
      <c r="R70" s="6">
        <f>Q70*G70</f>
        <v/>
      </c>
      <c r="S70" s="7">
        <f>IF($R$94=0,0,R70/$R$94)</f>
        <v/>
      </c>
      <c r="T70" s="7" t="n">
        <v>-0.0042</v>
      </c>
      <c r="U70" s="5" t="inlineStr">
        <is>
          <t>not selected</t>
        </is>
      </c>
    </row>
    <row r="71">
      <c r="A71" s="5" t="inlineStr">
        <is>
          <t>DJ30</t>
        </is>
      </c>
      <c r="B71" s="5" t="inlineStr">
        <is>
          <t>2026-07-03</t>
        </is>
      </c>
      <c r="C71" s="5" t="inlineStr">
        <is>
          <t>DIA</t>
        </is>
      </c>
      <c r="D71" s="5" t="inlineStr">
        <is>
          <t>CSCO</t>
        </is>
      </c>
      <c r="E71" s="5" t="inlineStr">
        <is>
          <t>CSCO</t>
        </is>
      </c>
      <c r="F71" s="5" t="inlineStr">
        <is>
          <t>-</t>
        </is>
      </c>
      <c r="G71" s="6" t="n">
        <v>101.4</v>
      </c>
      <c r="H71" s="5">
        <f>P40</f>
        <v/>
      </c>
      <c r="I71" s="8">
        <f>Q40</f>
        <v/>
      </c>
      <c r="J71" s="6">
        <f>I71*G71</f>
        <v/>
      </c>
      <c r="K71" s="7">
        <f>IF($J$94=0,0,J71/$J$94)</f>
        <v/>
      </c>
      <c r="L71" s="5" t="inlineStr">
        <is>
          <t>WATCHLIST</t>
        </is>
      </c>
      <c r="M71" s="7" t="n">
        <v>0</v>
      </c>
      <c r="N71" s="6">
        <f>M71*$J$94-J71</f>
        <v/>
      </c>
      <c r="O71" s="8">
        <f>IF(G71=0,0,N71/G71)</f>
        <v/>
      </c>
      <c r="P71" s="5">
        <f>IF(M71&gt;0,D71,"")</f>
        <v/>
      </c>
      <c r="Q71" s="8">
        <f>I71+O71</f>
        <v/>
      </c>
      <c r="R71" s="6">
        <f>Q71*G71</f>
        <v/>
      </c>
      <c r="S71" s="7">
        <f>IF($R$94=0,0,R71/$R$94)</f>
        <v/>
      </c>
      <c r="T71" s="7" t="n">
        <v>-0.0042</v>
      </c>
      <c r="U71" s="5" t="inlineStr">
        <is>
          <t>not selected</t>
        </is>
      </c>
    </row>
    <row r="72">
      <c r="A72" s="5" t="inlineStr">
        <is>
          <t>DJ30</t>
        </is>
      </c>
      <c r="B72" s="5" t="inlineStr">
        <is>
          <t>2026-07-03</t>
        </is>
      </c>
      <c r="C72" s="5" t="inlineStr">
        <is>
          <t>DIA</t>
        </is>
      </c>
      <c r="D72" s="5" t="inlineStr">
        <is>
          <t>CVX</t>
        </is>
      </c>
      <c r="E72" s="5" t="inlineStr">
        <is>
          <t>CVX</t>
        </is>
      </c>
      <c r="F72" s="5" t="inlineStr">
        <is>
          <t>-</t>
        </is>
      </c>
      <c r="G72" s="6" t="n">
        <v>101.6</v>
      </c>
      <c r="H72" s="5">
        <f>P41</f>
        <v/>
      </c>
      <c r="I72" s="8">
        <f>Q41</f>
        <v/>
      </c>
      <c r="J72" s="6">
        <f>I72*G72</f>
        <v/>
      </c>
      <c r="K72" s="7">
        <f>IF($J$94=0,0,J72/$J$94)</f>
        <v/>
      </c>
      <c r="L72" s="5" t="inlineStr">
        <is>
          <t>WATCHLIST</t>
        </is>
      </c>
      <c r="M72" s="7" t="n">
        <v>0</v>
      </c>
      <c r="N72" s="6">
        <f>M72*$J$94-J72</f>
        <v/>
      </c>
      <c r="O72" s="8">
        <f>IF(G72=0,0,N72/G72)</f>
        <v/>
      </c>
      <c r="P72" s="5">
        <f>IF(M72&gt;0,D72,"")</f>
        <v/>
      </c>
      <c r="Q72" s="8">
        <f>I72+O72</f>
        <v/>
      </c>
      <c r="R72" s="6">
        <f>Q72*G72</f>
        <v/>
      </c>
      <c r="S72" s="7">
        <f>IF($R$94=0,0,R72/$R$94)</f>
        <v/>
      </c>
      <c r="T72" s="7" t="n">
        <v>-0.0042</v>
      </c>
      <c r="U72" s="5" t="inlineStr">
        <is>
          <t>not selected</t>
        </is>
      </c>
    </row>
    <row r="73">
      <c r="A73" s="5" t="inlineStr">
        <is>
          <t>DJ30</t>
        </is>
      </c>
      <c r="B73" s="5" t="inlineStr">
        <is>
          <t>2026-07-03</t>
        </is>
      </c>
      <c r="C73" s="5" t="inlineStr">
        <is>
          <t>DIA</t>
        </is>
      </c>
      <c r="D73" s="5" t="inlineStr">
        <is>
          <t>DIS</t>
        </is>
      </c>
      <c r="E73" s="5" t="inlineStr">
        <is>
          <t>DIS</t>
        </is>
      </c>
      <c r="F73" s="5" t="inlineStr">
        <is>
          <t>-</t>
        </is>
      </c>
      <c r="G73" s="6" t="n">
        <v>101.8</v>
      </c>
      <c r="H73" s="5">
        <f>P42</f>
        <v/>
      </c>
      <c r="I73" s="8">
        <f>Q42</f>
        <v/>
      </c>
      <c r="J73" s="6">
        <f>I73*G73</f>
        <v/>
      </c>
      <c r="K73" s="7">
        <f>IF($J$94=0,0,J73/$J$94)</f>
        <v/>
      </c>
      <c r="L73" s="5" t="inlineStr">
        <is>
          <t>WATCHLIST</t>
        </is>
      </c>
      <c r="M73" s="7" t="n">
        <v>0</v>
      </c>
      <c r="N73" s="6">
        <f>M73*$J$94-J73</f>
        <v/>
      </c>
      <c r="O73" s="8">
        <f>IF(G73=0,0,N73/G73)</f>
        <v/>
      </c>
      <c r="P73" s="5">
        <f>IF(M73&gt;0,D73,"")</f>
        <v/>
      </c>
      <c r="Q73" s="8">
        <f>I73+O73</f>
        <v/>
      </c>
      <c r="R73" s="6">
        <f>Q73*G73</f>
        <v/>
      </c>
      <c r="S73" s="7">
        <f>IF($R$94=0,0,R73/$R$94)</f>
        <v/>
      </c>
      <c r="T73" s="7" t="n">
        <v>-0.0042</v>
      </c>
      <c r="U73" s="5" t="inlineStr">
        <is>
          <t>not selected</t>
        </is>
      </c>
    </row>
    <row r="74">
      <c r="A74" s="5" t="inlineStr">
        <is>
          <t>DJ30</t>
        </is>
      </c>
      <c r="B74" s="5" t="inlineStr">
        <is>
          <t>2026-07-03</t>
        </is>
      </c>
      <c r="C74" s="5" t="inlineStr">
        <is>
          <t>DIA</t>
        </is>
      </c>
      <c r="D74" s="5" t="inlineStr">
        <is>
          <t>GS</t>
        </is>
      </c>
      <c r="E74" s="5" t="inlineStr">
        <is>
          <t>GS</t>
        </is>
      </c>
      <c r="F74" s="5" t="inlineStr">
        <is>
          <t>-</t>
        </is>
      </c>
      <c r="G74" s="6" t="n">
        <v>102</v>
      </c>
      <c r="H74" s="5">
        <f>P43</f>
        <v/>
      </c>
      <c r="I74" s="8">
        <f>Q43</f>
        <v/>
      </c>
      <c r="J74" s="6">
        <f>I74*G74</f>
        <v/>
      </c>
      <c r="K74" s="7">
        <f>IF($J$94=0,0,J74/$J$94)</f>
        <v/>
      </c>
      <c r="L74" s="5" t="inlineStr">
        <is>
          <t>REJECTED</t>
        </is>
      </c>
      <c r="M74" s="7" t="n">
        <v>0</v>
      </c>
      <c r="N74" s="6">
        <f>M74*$J$94-J74</f>
        <v/>
      </c>
      <c r="O74" s="8">
        <f>IF(G74=0,0,N74/G74)</f>
        <v/>
      </c>
      <c r="P74" s="5">
        <f>IF(M74&gt;0,D74,"")</f>
        <v/>
      </c>
      <c r="Q74" s="8">
        <f>I74+O74</f>
        <v/>
      </c>
      <c r="R74" s="6">
        <f>Q74*G74</f>
        <v/>
      </c>
      <c r="S74" s="7">
        <f>IF($R$94=0,0,R74/$R$94)</f>
        <v/>
      </c>
      <c r="T74" s="7" t="n">
        <v>-0.0042</v>
      </c>
      <c r="U74" s="5" t="inlineStr">
        <is>
          <t>not selected</t>
        </is>
      </c>
    </row>
    <row r="75">
      <c r="A75" s="5" t="inlineStr">
        <is>
          <t>DJ30</t>
        </is>
      </c>
      <c r="B75" s="5" t="inlineStr">
        <is>
          <t>2026-07-03</t>
        </is>
      </c>
      <c r="C75" s="5" t="inlineStr">
        <is>
          <t>DIA</t>
        </is>
      </c>
      <c r="D75" s="5" t="inlineStr">
        <is>
          <t>HD</t>
        </is>
      </c>
      <c r="E75" s="5" t="inlineStr">
        <is>
          <t>HD</t>
        </is>
      </c>
      <c r="F75" s="5" t="inlineStr">
        <is>
          <t>-</t>
        </is>
      </c>
      <c r="G75" s="6" t="n">
        <v>102.2</v>
      </c>
      <c r="H75" s="5">
        <f>P44</f>
        <v/>
      </c>
      <c r="I75" s="8">
        <f>Q44</f>
        <v/>
      </c>
      <c r="J75" s="6">
        <f>I75*G75</f>
        <v/>
      </c>
      <c r="K75" s="7">
        <f>IF($J$94=0,0,J75/$J$94)</f>
        <v/>
      </c>
      <c r="L75" s="5" t="inlineStr">
        <is>
          <t>REJECTED</t>
        </is>
      </c>
      <c r="M75" s="7" t="n">
        <v>0</v>
      </c>
      <c r="N75" s="6">
        <f>M75*$J$94-J75</f>
        <v/>
      </c>
      <c r="O75" s="8">
        <f>IF(G75=0,0,N75/G75)</f>
        <v/>
      </c>
      <c r="P75" s="5">
        <f>IF(M75&gt;0,D75,"")</f>
        <v/>
      </c>
      <c r="Q75" s="8">
        <f>I75+O75</f>
        <v/>
      </c>
      <c r="R75" s="6">
        <f>Q75*G75</f>
        <v/>
      </c>
      <c r="S75" s="7">
        <f>IF($R$94=0,0,R75/$R$94)</f>
        <v/>
      </c>
      <c r="T75" s="7" t="n">
        <v>-0.0042</v>
      </c>
      <c r="U75" s="5" t="inlineStr">
        <is>
          <t>not selected</t>
        </is>
      </c>
    </row>
    <row r="76">
      <c r="A76" s="5" t="inlineStr">
        <is>
          <t>DJ30</t>
        </is>
      </c>
      <c r="B76" s="5" t="inlineStr">
        <is>
          <t>2026-07-03</t>
        </is>
      </c>
      <c r="C76" s="5" t="inlineStr">
        <is>
          <t>DIA</t>
        </is>
      </c>
      <c r="D76" s="5" t="inlineStr">
        <is>
          <t>HON</t>
        </is>
      </c>
      <c r="E76" s="5" t="inlineStr">
        <is>
          <t>HON</t>
        </is>
      </c>
      <c r="F76" s="5" t="inlineStr">
        <is>
          <t>-</t>
        </is>
      </c>
      <c r="G76" s="6" t="n">
        <v>104.45</v>
      </c>
      <c r="H76" s="5">
        <f>P45</f>
        <v/>
      </c>
      <c r="I76" s="8">
        <f>Q45</f>
        <v/>
      </c>
      <c r="J76" s="6">
        <f>I76*G76</f>
        <v/>
      </c>
      <c r="K76" s="7">
        <f>IF($J$94=0,0,J76/$J$94)</f>
        <v/>
      </c>
      <c r="L76" s="5" t="inlineStr">
        <is>
          <t>SELECTED</t>
        </is>
      </c>
      <c r="M76" s="7" t="n">
        <v>0.2</v>
      </c>
      <c r="N76" s="6">
        <f>M76*$J$94-J76</f>
        <v/>
      </c>
      <c r="O76" s="8">
        <f>IF(G76=0,0,N76/G76)</f>
        <v/>
      </c>
      <c r="P76" s="5">
        <f>IF(M76&gt;0,D76,"")</f>
        <v/>
      </c>
      <c r="Q76" s="8">
        <f>I76+O76</f>
        <v/>
      </c>
      <c r="R76" s="6">
        <f>Q76*G76</f>
        <v/>
      </c>
      <c r="S76" s="7">
        <f>IF($R$94=0,0,R76/$R$94)</f>
        <v/>
      </c>
      <c r="T76" s="7" t="n">
        <v>-0.0042</v>
      </c>
      <c r="U76" s="5" t="inlineStr">
        <is>
          <t>remained in weekly selection</t>
        </is>
      </c>
    </row>
    <row r="77">
      <c r="A77" s="5" t="inlineStr">
        <is>
          <t>DJ30</t>
        </is>
      </c>
      <c r="B77" s="5" t="inlineStr">
        <is>
          <t>2026-07-03</t>
        </is>
      </c>
      <c r="C77" s="5" t="inlineStr">
        <is>
          <t>DIA</t>
        </is>
      </c>
      <c r="D77" s="5" t="inlineStr">
        <is>
          <t>IBM</t>
        </is>
      </c>
      <c r="E77" s="5" t="inlineStr">
        <is>
          <t>IBM</t>
        </is>
      </c>
      <c r="F77" s="5" t="inlineStr">
        <is>
          <t>-</t>
        </is>
      </c>
      <c r="G77" s="6" t="n">
        <v>102.6</v>
      </c>
      <c r="H77" s="5">
        <f>P46</f>
        <v/>
      </c>
      <c r="I77" s="8">
        <f>Q46</f>
        <v/>
      </c>
      <c r="J77" s="6">
        <f>I77*G77</f>
        <v/>
      </c>
      <c r="K77" s="7">
        <f>IF($J$94=0,0,J77/$J$94)</f>
        <v/>
      </c>
      <c r="L77" s="5" t="inlineStr">
        <is>
          <t>REJECTED</t>
        </is>
      </c>
      <c r="M77" s="7" t="n">
        <v>0</v>
      </c>
      <c r="N77" s="6">
        <f>M77*$J$94-J77</f>
        <v/>
      </c>
      <c r="O77" s="8">
        <f>IF(G77=0,0,N77/G77)</f>
        <v/>
      </c>
      <c r="P77" s="5">
        <f>IF(M77&gt;0,D77,"")</f>
        <v/>
      </c>
      <c r="Q77" s="8">
        <f>I77+O77</f>
        <v/>
      </c>
      <c r="R77" s="6">
        <f>Q77*G77</f>
        <v/>
      </c>
      <c r="S77" s="7">
        <f>IF($R$94=0,0,R77/$R$94)</f>
        <v/>
      </c>
      <c r="T77" s="7" t="n">
        <v>-0.0042</v>
      </c>
      <c r="U77" s="5" t="inlineStr">
        <is>
          <t>not selected</t>
        </is>
      </c>
    </row>
    <row r="78">
      <c r="A78" s="5" t="inlineStr">
        <is>
          <t>DJ30</t>
        </is>
      </c>
      <c r="B78" s="5" t="inlineStr">
        <is>
          <t>2026-07-03</t>
        </is>
      </c>
      <c r="C78" s="5" t="inlineStr">
        <is>
          <t>DIA</t>
        </is>
      </c>
      <c r="D78" s="5" t="inlineStr">
        <is>
          <t>JNJ</t>
        </is>
      </c>
      <c r="E78" s="5" t="inlineStr">
        <is>
          <t>JNJ</t>
        </is>
      </c>
      <c r="F78" s="5" t="inlineStr">
        <is>
          <t>-</t>
        </is>
      </c>
      <c r="G78" s="6" t="n">
        <v>101.4</v>
      </c>
      <c r="H78" s="5">
        <f>P47</f>
        <v/>
      </c>
      <c r="I78" s="8">
        <f>Q47</f>
        <v/>
      </c>
      <c r="J78" s="6">
        <f>I78*G78</f>
        <v/>
      </c>
      <c r="K78" s="7">
        <f>IF($J$94=0,0,J78/$J$94)</f>
        <v/>
      </c>
      <c r="L78" s="5" t="inlineStr">
        <is>
          <t>REJECTED</t>
        </is>
      </c>
      <c r="M78" s="7" t="n">
        <v>0</v>
      </c>
      <c r="N78" s="6">
        <f>M78*$J$94-J78</f>
        <v/>
      </c>
      <c r="O78" s="8">
        <f>IF(G78=0,0,N78/G78)</f>
        <v/>
      </c>
      <c r="P78" s="5">
        <f>IF(M78&gt;0,D78,"")</f>
        <v/>
      </c>
      <c r="Q78" s="8">
        <f>I78+O78</f>
        <v/>
      </c>
      <c r="R78" s="6">
        <f>Q78*G78</f>
        <v/>
      </c>
      <c r="S78" s="7">
        <f>IF($R$94=0,0,R78/$R$94)</f>
        <v/>
      </c>
      <c r="T78" s="7" t="n">
        <v>-0.0042</v>
      </c>
      <c r="U78" s="5" t="inlineStr">
        <is>
          <t>not selected</t>
        </is>
      </c>
    </row>
    <row r="79">
      <c r="A79" s="5" t="inlineStr">
        <is>
          <t>DJ30</t>
        </is>
      </c>
      <c r="B79" s="5" t="inlineStr">
        <is>
          <t>2026-07-03</t>
        </is>
      </c>
      <c r="C79" s="5" t="inlineStr">
        <is>
          <t>DIA</t>
        </is>
      </c>
      <c r="D79" s="5" t="inlineStr">
        <is>
          <t>JPM</t>
        </is>
      </c>
      <c r="E79" s="5" t="inlineStr">
        <is>
          <t>JPM</t>
        </is>
      </c>
      <c r="F79" s="5" t="inlineStr">
        <is>
          <t>-</t>
        </is>
      </c>
      <c r="G79" s="6" t="n">
        <v>101.6</v>
      </c>
      <c r="H79" s="5">
        <f>P48</f>
        <v/>
      </c>
      <c r="I79" s="8">
        <f>Q48</f>
        <v/>
      </c>
      <c r="J79" s="6">
        <f>I79*G79</f>
        <v/>
      </c>
      <c r="K79" s="7">
        <f>IF($J$94=0,0,J79/$J$94)</f>
        <v/>
      </c>
      <c r="L79" s="5" t="inlineStr">
        <is>
          <t>REJECTED</t>
        </is>
      </c>
      <c r="M79" s="7" t="n">
        <v>0</v>
      </c>
      <c r="N79" s="6">
        <f>M79*$J$94-J79</f>
        <v/>
      </c>
      <c r="O79" s="8">
        <f>IF(G79=0,0,N79/G79)</f>
        <v/>
      </c>
      <c r="P79" s="5">
        <f>IF(M79&gt;0,D79,"")</f>
        <v/>
      </c>
      <c r="Q79" s="8">
        <f>I79+O79</f>
        <v/>
      </c>
      <c r="R79" s="6">
        <f>Q79*G79</f>
        <v/>
      </c>
      <c r="S79" s="7">
        <f>IF($R$94=0,0,R79/$R$94)</f>
        <v/>
      </c>
      <c r="T79" s="7" t="n">
        <v>-0.0042</v>
      </c>
      <c r="U79" s="5" t="inlineStr">
        <is>
          <t>not selected</t>
        </is>
      </c>
    </row>
    <row r="80">
      <c r="A80" s="5" t="inlineStr">
        <is>
          <t>DJ30</t>
        </is>
      </c>
      <c r="B80" s="5" t="inlineStr">
        <is>
          <t>2026-07-03</t>
        </is>
      </c>
      <c r="C80" s="5" t="inlineStr">
        <is>
          <t>DIA</t>
        </is>
      </c>
      <c r="D80" s="5" t="inlineStr">
        <is>
          <t>KO</t>
        </is>
      </c>
      <c r="E80" s="5" t="inlineStr">
        <is>
          <t>KO</t>
        </is>
      </c>
      <c r="F80" s="5" t="inlineStr">
        <is>
          <t>-</t>
        </is>
      </c>
      <c r="G80" s="6" t="n">
        <v>81.44</v>
      </c>
      <c r="H80" s="5">
        <f>P49</f>
        <v/>
      </c>
      <c r="I80" s="8">
        <f>Q49</f>
        <v/>
      </c>
      <c r="J80" s="6">
        <f>I80*G80</f>
        <v/>
      </c>
      <c r="K80" s="7">
        <f>IF($J$94=0,0,J80/$J$94)</f>
        <v/>
      </c>
      <c r="L80" s="5" t="inlineStr">
        <is>
          <t>REJECTED</t>
        </is>
      </c>
      <c r="M80" s="7" t="n">
        <v>0</v>
      </c>
      <c r="N80" s="6">
        <f>M80*$J$94-J80</f>
        <v/>
      </c>
      <c r="O80" s="8">
        <f>IF(G80=0,0,N80/G80)</f>
        <v/>
      </c>
      <c r="P80" s="5">
        <f>IF(M80&gt;0,D80,"")</f>
        <v/>
      </c>
      <c r="Q80" s="8">
        <f>I80+O80</f>
        <v/>
      </c>
      <c r="R80" s="6">
        <f>Q80*G80</f>
        <v/>
      </c>
      <c r="S80" s="7">
        <f>IF($R$94=0,0,R80/$R$94)</f>
        <v/>
      </c>
      <c r="T80" s="7" t="n">
        <v>-0.0042</v>
      </c>
      <c r="U80" s="5" t="inlineStr">
        <is>
          <t>removed from weekly selection</t>
        </is>
      </c>
    </row>
    <row r="81">
      <c r="A81" s="5" t="inlineStr">
        <is>
          <t>DJ30</t>
        </is>
      </c>
      <c r="B81" s="5" t="inlineStr">
        <is>
          <t>2026-07-03</t>
        </is>
      </c>
      <c r="C81" s="5" t="inlineStr">
        <is>
          <t>DIA</t>
        </is>
      </c>
      <c r="D81" s="5" t="inlineStr">
        <is>
          <t>MCD</t>
        </is>
      </c>
      <c r="E81" s="5" t="inlineStr">
        <is>
          <t>MCD</t>
        </is>
      </c>
      <c r="F81" s="5" t="inlineStr">
        <is>
          <t>-</t>
        </is>
      </c>
      <c r="G81" s="6" t="n">
        <v>102</v>
      </c>
      <c r="H81" s="5">
        <f>P50</f>
        <v/>
      </c>
      <c r="I81" s="8">
        <f>Q50</f>
        <v/>
      </c>
      <c r="J81" s="6">
        <f>I81*G81</f>
        <v/>
      </c>
      <c r="K81" s="7">
        <f>IF($J$94=0,0,J81/$J$94)</f>
        <v/>
      </c>
      <c r="L81" s="5" t="inlineStr">
        <is>
          <t>REJECTED</t>
        </is>
      </c>
      <c r="M81" s="7" t="n">
        <v>0</v>
      </c>
      <c r="N81" s="6">
        <f>M81*$J$94-J81</f>
        <v/>
      </c>
      <c r="O81" s="8">
        <f>IF(G81=0,0,N81/G81)</f>
        <v/>
      </c>
      <c r="P81" s="5">
        <f>IF(M81&gt;0,D81,"")</f>
        <v/>
      </c>
      <c r="Q81" s="8">
        <f>I81+O81</f>
        <v/>
      </c>
      <c r="R81" s="6">
        <f>Q81*G81</f>
        <v/>
      </c>
      <c r="S81" s="7">
        <f>IF($R$94=0,0,R81/$R$94)</f>
        <v/>
      </c>
      <c r="T81" s="7" t="n">
        <v>-0.0042</v>
      </c>
      <c r="U81" s="5" t="inlineStr">
        <is>
          <t>not selected</t>
        </is>
      </c>
    </row>
    <row r="82">
      <c r="A82" s="5" t="inlineStr">
        <is>
          <t>DJ30</t>
        </is>
      </c>
      <c r="B82" s="5" t="inlineStr">
        <is>
          <t>2026-07-03</t>
        </is>
      </c>
      <c r="C82" s="5" t="inlineStr">
        <is>
          <t>DIA</t>
        </is>
      </c>
      <c r="D82" s="5" t="inlineStr">
        <is>
          <t>MMM</t>
        </is>
      </c>
      <c r="E82" s="5" t="inlineStr">
        <is>
          <t>MMM</t>
        </is>
      </c>
      <c r="F82" s="5" t="inlineStr">
        <is>
          <t>-</t>
        </is>
      </c>
      <c r="G82" s="6" t="n">
        <v>102.2</v>
      </c>
      <c r="H82" s="5">
        <f>P51</f>
        <v/>
      </c>
      <c r="I82" s="8">
        <f>Q51</f>
        <v/>
      </c>
      <c r="J82" s="6">
        <f>I82*G82</f>
        <v/>
      </c>
      <c r="K82" s="7">
        <f>IF($J$94=0,0,J82/$J$94)</f>
        <v/>
      </c>
      <c r="L82" s="5" t="inlineStr">
        <is>
          <t>REJECTED</t>
        </is>
      </c>
      <c r="M82" s="7" t="n">
        <v>0</v>
      </c>
      <c r="N82" s="6">
        <f>M82*$J$94-J82</f>
        <v/>
      </c>
      <c r="O82" s="8">
        <f>IF(G82=0,0,N82/G82)</f>
        <v/>
      </c>
      <c r="P82" s="5">
        <f>IF(M82&gt;0,D82,"")</f>
        <v/>
      </c>
      <c r="Q82" s="8">
        <f>I82+O82</f>
        <v/>
      </c>
      <c r="R82" s="6">
        <f>Q82*G82</f>
        <v/>
      </c>
      <c r="S82" s="7">
        <f>IF($R$94=0,0,R82/$R$94)</f>
        <v/>
      </c>
      <c r="T82" s="7" t="n">
        <v>-0.0042</v>
      </c>
      <c r="U82" s="5" t="inlineStr">
        <is>
          <t>not selected</t>
        </is>
      </c>
    </row>
    <row r="83">
      <c r="A83" s="5" t="inlineStr">
        <is>
          <t>DJ30</t>
        </is>
      </c>
      <c r="B83" s="5" t="inlineStr">
        <is>
          <t>2026-07-03</t>
        </is>
      </c>
      <c r="C83" s="5" t="inlineStr">
        <is>
          <t>DIA</t>
        </is>
      </c>
      <c r="D83" s="5" t="inlineStr">
        <is>
          <t>MRK</t>
        </is>
      </c>
      <c r="E83" s="5" t="inlineStr">
        <is>
          <t>MRK</t>
        </is>
      </c>
      <c r="F83" s="5" t="inlineStr">
        <is>
          <t>-</t>
        </is>
      </c>
      <c r="G83" s="6" t="n">
        <v>102.4</v>
      </c>
      <c r="H83" s="5">
        <f>P52</f>
        <v/>
      </c>
      <c r="I83" s="8">
        <f>Q52</f>
        <v/>
      </c>
      <c r="J83" s="6">
        <f>I83*G83</f>
        <v/>
      </c>
      <c r="K83" s="7">
        <f>IF($J$94=0,0,J83/$J$94)</f>
        <v/>
      </c>
      <c r="L83" s="5" t="inlineStr">
        <is>
          <t>REJECTED</t>
        </is>
      </c>
      <c r="M83" s="7" t="n">
        <v>0</v>
      </c>
      <c r="N83" s="6">
        <f>M83*$J$94-J83</f>
        <v/>
      </c>
      <c r="O83" s="8">
        <f>IF(G83=0,0,N83/G83)</f>
        <v/>
      </c>
      <c r="P83" s="5">
        <f>IF(M83&gt;0,D83,"")</f>
        <v/>
      </c>
      <c r="Q83" s="8">
        <f>I83+O83</f>
        <v/>
      </c>
      <c r="R83" s="6">
        <f>Q83*G83</f>
        <v/>
      </c>
      <c r="S83" s="7">
        <f>IF($R$94=0,0,R83/$R$94)</f>
        <v/>
      </c>
      <c r="T83" s="7" t="n">
        <v>-0.0042</v>
      </c>
      <c r="U83" s="5" t="inlineStr">
        <is>
          <t>not selected</t>
        </is>
      </c>
    </row>
    <row r="84">
      <c r="A84" s="5" t="inlineStr">
        <is>
          <t>DJ30</t>
        </is>
      </c>
      <c r="B84" s="5" t="inlineStr">
        <is>
          <t>2026-07-03</t>
        </is>
      </c>
      <c r="C84" s="5" t="inlineStr">
        <is>
          <t>DIA</t>
        </is>
      </c>
      <c r="D84" s="5" t="inlineStr">
        <is>
          <t>MSFT</t>
        </is>
      </c>
      <c r="E84" s="5" t="inlineStr">
        <is>
          <t>MSFT</t>
        </is>
      </c>
      <c r="F84" s="5" t="inlineStr">
        <is>
          <t>-</t>
        </is>
      </c>
      <c r="G84" s="6" t="n">
        <v>102.6</v>
      </c>
      <c r="H84" s="5">
        <f>P53</f>
        <v/>
      </c>
      <c r="I84" s="8">
        <f>Q53</f>
        <v/>
      </c>
      <c r="J84" s="6">
        <f>I84*G84</f>
        <v/>
      </c>
      <c r="K84" s="7">
        <f>IF($J$94=0,0,J84/$J$94)</f>
        <v/>
      </c>
      <c r="L84" s="5" t="inlineStr">
        <is>
          <t>SELECTED</t>
        </is>
      </c>
      <c r="M84" s="7" t="n">
        <v>0.2</v>
      </c>
      <c r="N84" s="6">
        <f>M84*$J$94-J84</f>
        <v/>
      </c>
      <c r="O84" s="8">
        <f>IF(G84=0,0,N84/G84)</f>
        <v/>
      </c>
      <c r="P84" s="5">
        <f>IF(M84&gt;0,D84,"")</f>
        <v/>
      </c>
      <c r="Q84" s="8">
        <f>I84+O84</f>
        <v/>
      </c>
      <c r="R84" s="6">
        <f>Q84*G84</f>
        <v/>
      </c>
      <c r="S84" s="7">
        <f>IF($R$94=0,0,R84/$R$94)</f>
        <v/>
      </c>
      <c r="T84" s="7" t="n">
        <v>-0.0042</v>
      </c>
      <c r="U84" s="5" t="inlineStr">
        <is>
          <t>entered weekly selection</t>
        </is>
      </c>
    </row>
    <row r="85">
      <c r="A85" s="5" t="inlineStr">
        <is>
          <t>DJ30</t>
        </is>
      </c>
      <c r="B85" s="5" t="inlineStr">
        <is>
          <t>2026-07-03</t>
        </is>
      </c>
      <c r="C85" s="5" t="inlineStr">
        <is>
          <t>DIA</t>
        </is>
      </c>
      <c r="D85" s="5" t="inlineStr">
        <is>
          <t>NKE</t>
        </is>
      </c>
      <c r="E85" s="5" t="inlineStr">
        <is>
          <t>NKE</t>
        </is>
      </c>
      <c r="F85" s="5" t="inlineStr">
        <is>
          <t>-</t>
        </is>
      </c>
      <c r="G85" s="6" t="n">
        <v>101.4</v>
      </c>
      <c r="H85" s="5">
        <f>P54</f>
        <v/>
      </c>
      <c r="I85" s="8">
        <f>Q54</f>
        <v/>
      </c>
      <c r="J85" s="6">
        <f>I85*G85</f>
        <v/>
      </c>
      <c r="K85" s="7">
        <f>IF($J$94=0,0,J85/$J$94)</f>
        <v/>
      </c>
      <c r="L85" s="5" t="inlineStr">
        <is>
          <t>SELECTED</t>
        </is>
      </c>
      <c r="M85" s="7" t="n">
        <v>0.2</v>
      </c>
      <c r="N85" s="6">
        <f>M85*$J$94-J85</f>
        <v/>
      </c>
      <c r="O85" s="8">
        <f>IF(G85=0,0,N85/G85)</f>
        <v/>
      </c>
      <c r="P85" s="5">
        <f>IF(M85&gt;0,D85,"")</f>
        <v/>
      </c>
      <c r="Q85" s="8">
        <f>I85+O85</f>
        <v/>
      </c>
      <c r="R85" s="6">
        <f>Q85*G85</f>
        <v/>
      </c>
      <c r="S85" s="7">
        <f>IF($R$94=0,0,R85/$R$94)</f>
        <v/>
      </c>
      <c r="T85" s="7" t="n">
        <v>-0.0042</v>
      </c>
      <c r="U85" s="5" t="inlineStr">
        <is>
          <t>remained in weekly selection</t>
        </is>
      </c>
    </row>
    <row r="86">
      <c r="A86" s="5" t="inlineStr">
        <is>
          <t>DJ30</t>
        </is>
      </c>
      <c r="B86" s="5" t="inlineStr">
        <is>
          <t>2026-07-03</t>
        </is>
      </c>
      <c r="C86" s="5" t="inlineStr">
        <is>
          <t>DIA</t>
        </is>
      </c>
      <c r="D86" s="5" t="inlineStr">
        <is>
          <t>NVDA</t>
        </is>
      </c>
      <c r="E86" s="5" t="inlineStr">
        <is>
          <t>NVDA</t>
        </is>
      </c>
      <c r="F86" s="5" t="inlineStr">
        <is>
          <t>-</t>
        </is>
      </c>
      <c r="G86" s="6" t="n">
        <v>101.6</v>
      </c>
      <c r="H86" s="5">
        <f>P55</f>
        <v/>
      </c>
      <c r="I86" s="8">
        <f>Q55</f>
        <v/>
      </c>
      <c r="J86" s="6">
        <f>I86*G86</f>
        <v/>
      </c>
      <c r="K86" s="7">
        <f>IF($J$94=0,0,J86/$J$94)</f>
        <v/>
      </c>
      <c r="L86" s="5" t="inlineStr">
        <is>
          <t>REJECTED</t>
        </is>
      </c>
      <c r="M86" s="7" t="n">
        <v>0</v>
      </c>
      <c r="N86" s="6">
        <f>M86*$J$94-J86</f>
        <v/>
      </c>
      <c r="O86" s="8">
        <f>IF(G86=0,0,N86/G86)</f>
        <v/>
      </c>
      <c r="P86" s="5">
        <f>IF(M86&gt;0,D86,"")</f>
        <v/>
      </c>
      <c r="Q86" s="8">
        <f>I86+O86</f>
        <v/>
      </c>
      <c r="R86" s="6">
        <f>Q86*G86</f>
        <v/>
      </c>
      <c r="S86" s="7">
        <f>IF($R$94=0,0,R86/$R$94)</f>
        <v/>
      </c>
      <c r="T86" s="7" t="n">
        <v>-0.0042</v>
      </c>
      <c r="U86" s="5" t="inlineStr">
        <is>
          <t>not selected</t>
        </is>
      </c>
    </row>
    <row r="87">
      <c r="A87" s="5" t="inlineStr">
        <is>
          <t>DJ30</t>
        </is>
      </c>
      <c r="B87" s="5" t="inlineStr">
        <is>
          <t>2026-07-03</t>
        </is>
      </c>
      <c r="C87" s="5" t="inlineStr">
        <is>
          <t>DIA</t>
        </is>
      </c>
      <c r="D87" s="5" t="inlineStr">
        <is>
          <t>PG</t>
        </is>
      </c>
      <c r="E87" s="5" t="inlineStr">
        <is>
          <t>PG</t>
        </is>
      </c>
      <c r="F87" s="5" t="inlineStr">
        <is>
          <t>-</t>
        </is>
      </c>
      <c r="G87" s="6" t="n">
        <v>101.8</v>
      </c>
      <c r="H87" s="5">
        <f>P56</f>
        <v/>
      </c>
      <c r="I87" s="8">
        <f>Q56</f>
        <v/>
      </c>
      <c r="J87" s="6">
        <f>I87*G87</f>
        <v/>
      </c>
      <c r="K87" s="7">
        <f>IF($J$94=0,0,J87/$J$94)</f>
        <v/>
      </c>
      <c r="L87" s="5" t="inlineStr">
        <is>
          <t>REJECTED</t>
        </is>
      </c>
      <c r="M87" s="7" t="n">
        <v>0</v>
      </c>
      <c r="N87" s="6">
        <f>M87*$J$94-J87</f>
        <v/>
      </c>
      <c r="O87" s="8">
        <f>IF(G87=0,0,N87/G87)</f>
        <v/>
      </c>
      <c r="P87" s="5">
        <f>IF(M87&gt;0,D87,"")</f>
        <v/>
      </c>
      <c r="Q87" s="8">
        <f>I87+O87</f>
        <v/>
      </c>
      <c r="R87" s="6">
        <f>Q87*G87</f>
        <v/>
      </c>
      <c r="S87" s="7">
        <f>IF($R$94=0,0,R87/$R$94)</f>
        <v/>
      </c>
      <c r="T87" s="7" t="n">
        <v>-0.0042</v>
      </c>
      <c r="U87" s="5" t="inlineStr">
        <is>
          <t>not selected</t>
        </is>
      </c>
    </row>
    <row r="88">
      <c r="A88" s="5" t="inlineStr">
        <is>
          <t>DJ30</t>
        </is>
      </c>
      <c r="B88" s="5" t="inlineStr">
        <is>
          <t>2026-07-03</t>
        </is>
      </c>
      <c r="C88" s="5" t="inlineStr">
        <is>
          <t>DIA</t>
        </is>
      </c>
      <c r="D88" s="5" t="inlineStr">
        <is>
          <t>SHW</t>
        </is>
      </c>
      <c r="E88" s="5" t="inlineStr">
        <is>
          <t>SHW</t>
        </is>
      </c>
      <c r="F88" s="5" t="inlineStr">
        <is>
          <t>-</t>
        </is>
      </c>
      <c r="G88" s="6" t="n">
        <v>102</v>
      </c>
      <c r="H88" s="5">
        <f>P57</f>
        <v/>
      </c>
      <c r="I88" s="8">
        <f>Q57</f>
        <v/>
      </c>
      <c r="J88" s="6">
        <f>I88*G88</f>
        <v/>
      </c>
      <c r="K88" s="7">
        <f>IF($J$94=0,0,J88/$J$94)</f>
        <v/>
      </c>
      <c r="L88" s="5" t="inlineStr">
        <is>
          <t>REJECTED</t>
        </is>
      </c>
      <c r="M88" s="7" t="n">
        <v>0</v>
      </c>
      <c r="N88" s="6">
        <f>M88*$J$94-J88</f>
        <v/>
      </c>
      <c r="O88" s="8">
        <f>IF(G88=0,0,N88/G88)</f>
        <v/>
      </c>
      <c r="P88" s="5">
        <f>IF(M88&gt;0,D88,"")</f>
        <v/>
      </c>
      <c r="Q88" s="8">
        <f>I88+O88</f>
        <v/>
      </c>
      <c r="R88" s="6">
        <f>Q88*G88</f>
        <v/>
      </c>
      <c r="S88" s="7">
        <f>IF($R$94=0,0,R88/$R$94)</f>
        <v/>
      </c>
      <c r="T88" s="7" t="n">
        <v>-0.0042</v>
      </c>
      <c r="U88" s="5" t="inlineStr">
        <is>
          <t>not selected</t>
        </is>
      </c>
    </row>
    <row r="89">
      <c r="A89" s="5" t="inlineStr">
        <is>
          <t>DJ30</t>
        </is>
      </c>
      <c r="B89" s="5" t="inlineStr">
        <is>
          <t>2026-07-03</t>
        </is>
      </c>
      <c r="C89" s="5" t="inlineStr">
        <is>
          <t>DIA</t>
        </is>
      </c>
      <c r="D89" s="5" t="inlineStr">
        <is>
          <t>TRV</t>
        </is>
      </c>
      <c r="E89" s="5" t="inlineStr">
        <is>
          <t>TRV</t>
        </is>
      </c>
      <c r="F89" s="5" t="inlineStr">
        <is>
          <t>-</t>
        </is>
      </c>
      <c r="G89" s="6" t="n">
        <v>102.2</v>
      </c>
      <c r="H89" s="5">
        <f>P58</f>
        <v/>
      </c>
      <c r="I89" s="8">
        <f>Q58</f>
        <v/>
      </c>
      <c r="J89" s="6">
        <f>I89*G89</f>
        <v/>
      </c>
      <c r="K89" s="7">
        <f>IF($J$94=0,0,J89/$J$94)</f>
        <v/>
      </c>
      <c r="L89" s="5" t="inlineStr">
        <is>
          <t>REJECTED</t>
        </is>
      </c>
      <c r="M89" s="7" t="n">
        <v>0</v>
      </c>
      <c r="N89" s="6">
        <f>M89*$J$94-J89</f>
        <v/>
      </c>
      <c r="O89" s="8">
        <f>IF(G89=0,0,N89/G89)</f>
        <v/>
      </c>
      <c r="P89" s="5">
        <f>IF(M89&gt;0,D89,"")</f>
        <v/>
      </c>
      <c r="Q89" s="8">
        <f>I89+O89</f>
        <v/>
      </c>
      <c r="R89" s="6">
        <f>Q89*G89</f>
        <v/>
      </c>
      <c r="S89" s="7">
        <f>IF($R$94=0,0,R89/$R$94)</f>
        <v/>
      </c>
      <c r="T89" s="7" t="n">
        <v>-0.0042</v>
      </c>
      <c r="U89" s="5" t="inlineStr">
        <is>
          <t>not selected</t>
        </is>
      </c>
    </row>
    <row r="90">
      <c r="A90" s="5" t="inlineStr">
        <is>
          <t>DJ30</t>
        </is>
      </c>
      <c r="B90" s="5" t="inlineStr">
        <is>
          <t>2026-07-03</t>
        </is>
      </c>
      <c r="C90" s="5" t="inlineStr">
        <is>
          <t>DIA</t>
        </is>
      </c>
      <c r="D90" s="5" t="inlineStr">
        <is>
          <t>UNH</t>
        </is>
      </c>
      <c r="E90" s="5" t="inlineStr">
        <is>
          <t>UNH</t>
        </is>
      </c>
      <c r="F90" s="5" t="inlineStr">
        <is>
          <t>-</t>
        </is>
      </c>
      <c r="G90" s="6" t="n">
        <v>102.4</v>
      </c>
      <c r="H90" s="5">
        <f>P59</f>
        <v/>
      </c>
      <c r="I90" s="8">
        <f>Q59</f>
        <v/>
      </c>
      <c r="J90" s="6">
        <f>I90*G90</f>
        <v/>
      </c>
      <c r="K90" s="7">
        <f>IF($J$94=0,0,J90/$J$94)</f>
        <v/>
      </c>
      <c r="L90" s="5" t="inlineStr">
        <is>
          <t>REJECTED</t>
        </is>
      </c>
      <c r="M90" s="7" t="n">
        <v>0</v>
      </c>
      <c r="N90" s="6">
        <f>M90*$J$94-J90</f>
        <v/>
      </c>
      <c r="O90" s="8">
        <f>IF(G90=0,0,N90/G90)</f>
        <v/>
      </c>
      <c r="P90" s="5">
        <f>IF(M90&gt;0,D90,"")</f>
        <v/>
      </c>
      <c r="Q90" s="8">
        <f>I90+O90</f>
        <v/>
      </c>
      <c r="R90" s="6">
        <f>Q90*G90</f>
        <v/>
      </c>
      <c r="S90" s="7">
        <f>IF($R$94=0,0,R90/$R$94)</f>
        <v/>
      </c>
      <c r="T90" s="7" t="n">
        <v>-0.0042</v>
      </c>
      <c r="U90" s="5" t="inlineStr">
        <is>
          <t>not selected</t>
        </is>
      </c>
    </row>
    <row r="91">
      <c r="A91" s="5" t="inlineStr">
        <is>
          <t>DJ30</t>
        </is>
      </c>
      <c r="B91" s="5" t="inlineStr">
        <is>
          <t>2026-07-03</t>
        </is>
      </c>
      <c r="C91" s="5" t="inlineStr">
        <is>
          <t>DIA</t>
        </is>
      </c>
      <c r="D91" s="5" t="inlineStr">
        <is>
          <t>V</t>
        </is>
      </c>
      <c r="E91" s="5" t="inlineStr">
        <is>
          <t>V</t>
        </is>
      </c>
      <c r="F91" s="5" t="inlineStr">
        <is>
          <t>-</t>
        </is>
      </c>
      <c r="G91" s="6" t="n">
        <v>102.6</v>
      </c>
      <c r="H91" s="5">
        <f>P60</f>
        <v/>
      </c>
      <c r="I91" s="8">
        <f>Q60</f>
        <v/>
      </c>
      <c r="J91" s="6">
        <f>I91*G91</f>
        <v/>
      </c>
      <c r="K91" s="7">
        <f>IF($J$94=0,0,J91/$J$94)</f>
        <v/>
      </c>
      <c r="L91" s="5" t="inlineStr">
        <is>
          <t>REJECTED</t>
        </is>
      </c>
      <c r="M91" s="7" t="n">
        <v>0</v>
      </c>
      <c r="N91" s="6">
        <f>M91*$J$94-J91</f>
        <v/>
      </c>
      <c r="O91" s="8">
        <f>IF(G91=0,0,N91/G91)</f>
        <v/>
      </c>
      <c r="P91" s="5">
        <f>IF(M91&gt;0,D91,"")</f>
        <v/>
      </c>
      <c r="Q91" s="8">
        <f>I91+O91</f>
        <v/>
      </c>
      <c r="R91" s="6">
        <f>Q91*G91</f>
        <v/>
      </c>
      <c r="S91" s="7">
        <f>IF($R$94=0,0,R91/$R$94)</f>
        <v/>
      </c>
      <c r="T91" s="7" t="n">
        <v>-0.0042</v>
      </c>
      <c r="U91" s="5" t="inlineStr">
        <is>
          <t>not selected</t>
        </is>
      </c>
    </row>
    <row r="92">
      <c r="A92" s="5" t="inlineStr">
        <is>
          <t>DJ30</t>
        </is>
      </c>
      <c r="B92" s="5" t="inlineStr">
        <is>
          <t>2026-07-03</t>
        </is>
      </c>
      <c r="C92" s="5" t="inlineStr">
        <is>
          <t>DIA</t>
        </is>
      </c>
      <c r="D92" s="5" t="inlineStr">
        <is>
          <t>VZ</t>
        </is>
      </c>
      <c r="E92" s="5" t="inlineStr">
        <is>
          <t>VZ</t>
        </is>
      </c>
      <c r="F92" s="5" t="inlineStr">
        <is>
          <t>-</t>
        </is>
      </c>
      <c r="G92" s="6" t="n">
        <v>101.4</v>
      </c>
      <c r="H92" s="5">
        <f>P61</f>
        <v/>
      </c>
      <c r="I92" s="8">
        <f>Q61</f>
        <v/>
      </c>
      <c r="J92" s="6">
        <f>I92*G92</f>
        <v/>
      </c>
      <c r="K92" s="7">
        <f>IF($J$94=0,0,J92/$J$94)</f>
        <v/>
      </c>
      <c r="L92" s="5" t="inlineStr">
        <is>
          <t>REJECTED</t>
        </is>
      </c>
      <c r="M92" s="7" t="n">
        <v>0</v>
      </c>
      <c r="N92" s="6">
        <f>M92*$J$94-J92</f>
        <v/>
      </c>
      <c r="O92" s="8">
        <f>IF(G92=0,0,N92/G92)</f>
        <v/>
      </c>
      <c r="P92" s="5">
        <f>IF(M92&gt;0,D92,"")</f>
        <v/>
      </c>
      <c r="Q92" s="8">
        <f>I92+O92</f>
        <v/>
      </c>
      <c r="R92" s="6">
        <f>Q92*G92</f>
        <v/>
      </c>
      <c r="S92" s="7">
        <f>IF($R$94=0,0,R92/$R$94)</f>
        <v/>
      </c>
      <c r="T92" s="7" t="n">
        <v>-0.0042</v>
      </c>
      <c r="U92" s="5" t="inlineStr">
        <is>
          <t>not selected</t>
        </is>
      </c>
    </row>
    <row r="93">
      <c r="A93" s="5" t="inlineStr">
        <is>
          <t>DJ30</t>
        </is>
      </c>
      <c r="B93" s="5" t="inlineStr">
        <is>
          <t>2026-07-03</t>
        </is>
      </c>
      <c r="C93" s="5" t="inlineStr">
        <is>
          <t>DIA</t>
        </is>
      </c>
      <c r="D93" s="5" t="inlineStr">
        <is>
          <t>WMT</t>
        </is>
      </c>
      <c r="E93" s="5" t="inlineStr">
        <is>
          <t>WMT</t>
        </is>
      </c>
      <c r="F93" s="5" t="inlineStr">
        <is>
          <t>-</t>
        </is>
      </c>
      <c r="G93" s="6" t="n">
        <v>101.6</v>
      </c>
      <c r="H93" s="5">
        <f>P62</f>
        <v/>
      </c>
      <c r="I93" s="8">
        <f>Q62</f>
        <v/>
      </c>
      <c r="J93" s="6">
        <f>I93*G93</f>
        <v/>
      </c>
      <c r="K93" s="7">
        <f>IF($J$94=0,0,J93/$J$94)</f>
        <v/>
      </c>
      <c r="L93" s="5" t="inlineStr">
        <is>
          <t>REJECTED</t>
        </is>
      </c>
      <c r="M93" s="7" t="n">
        <v>0</v>
      </c>
      <c r="N93" s="6">
        <f>M93*$J$94-J93</f>
        <v/>
      </c>
      <c r="O93" s="8">
        <f>IF(G93=0,0,N93/G93)</f>
        <v/>
      </c>
      <c r="P93" s="5">
        <f>IF(M93&gt;0,D93,"")</f>
        <v/>
      </c>
      <c r="Q93" s="8">
        <f>I93+O93</f>
        <v/>
      </c>
      <c r="R93" s="6">
        <f>Q93*G93</f>
        <v/>
      </c>
      <c r="S93" s="7">
        <f>IF($R$94=0,0,R93/$R$94)</f>
        <v/>
      </c>
      <c r="T93" s="7" t="n">
        <v>-0.0042</v>
      </c>
      <c r="U93" s="5" t="inlineStr">
        <is>
          <t>not selected</t>
        </is>
      </c>
    </row>
    <row r="94">
      <c r="A94" s="9" t="inlineStr">
        <is>
          <t>DJ30</t>
        </is>
      </c>
      <c r="B94" s="9" t="inlineStr">
        <is>
          <t>2026-07-03</t>
        </is>
      </c>
      <c r="C94" s="9" t="inlineStr">
        <is>
          <t>DIA</t>
        </is>
      </c>
      <c r="D94" s="9" t="inlineStr">
        <is>
          <t>Tot Portfolio</t>
        </is>
      </c>
      <c r="E94" s="9" t="inlineStr"/>
      <c r="F94" s="9" t="inlineStr"/>
      <c r="G94" s="10" t="inlineStr"/>
      <c r="H94" s="9" t="inlineStr"/>
      <c r="I94" s="11" t="inlineStr"/>
      <c r="J94" s="10">
        <f>SUM(J64:J93)</f>
        <v/>
      </c>
      <c r="K94" s="12">
        <f>SUM(K64:K93)</f>
        <v/>
      </c>
      <c r="L94" s="9" t="inlineStr">
        <is>
          <t>TOTAL</t>
        </is>
      </c>
      <c r="M94" s="12">
        <f>SUM(M64:M93)</f>
        <v/>
      </c>
      <c r="N94" s="10">
        <f>SUM(N64:N93)</f>
        <v/>
      </c>
      <c r="O94" s="11">
        <f>SUM(O64:O93)</f>
        <v/>
      </c>
      <c r="P94" s="9" t="inlineStr"/>
      <c r="Q94" s="11" t="inlineStr"/>
      <c r="R94" s="10">
        <f>SUM(R64:R93)</f>
        <v/>
      </c>
      <c r="S94" s="12">
        <f>SUM(S64:S93)</f>
        <v/>
      </c>
      <c r="T94" s="12" t="n">
        <v>-0.0042</v>
      </c>
      <c r="U94" s="9" t="inlineStr"/>
    </row>
  </sheetData>
  <autoFilter ref="A1:U94"/>
  <conditionalFormatting sqref="N2:N94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O2:O94">
    <cfRule type="cellIs" priority="3" operator="lessThan" dxfId="0">
      <formula>0</formula>
    </cfRule>
    <cfRule type="cellIs" priority="4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30" customWidth="1" min="5" max="5"/>
    <col width="12" customWidth="1" min="6" max="6"/>
    <col width="13" customWidth="1" min="7" max="7"/>
    <col width="12" customWidth="1" min="8" max="8"/>
    <col width="14" customWidth="1" min="9" max="9"/>
    <col width="15" customWidth="1" min="10" max="10"/>
  </cols>
  <sheetData>
    <row r="1">
      <c r="A1" s="4" t="inlineStr">
        <is>
          <t>Market</t>
        </is>
      </c>
      <c r="B1" s="4" t="inlineStr">
        <is>
          <t>WeekEnding</t>
        </is>
      </c>
      <c r="C1" s="4" t="inlineStr">
        <is>
          <t>Benchmark</t>
        </is>
      </c>
      <c r="D1" s="4" t="inlineStr">
        <is>
          <t>Asset</t>
        </is>
      </c>
      <c r="E1" s="4" t="inlineStr">
        <is>
          <t>Company</t>
        </is>
      </c>
      <c r="F1" s="4" t="inlineStr">
        <is>
          <t>Sector</t>
        </is>
      </c>
      <c r="G1" s="4" t="inlineStr">
        <is>
          <t>last_price</t>
        </is>
      </c>
      <c r="H1" s="4" t="inlineStr">
        <is>
          <t>qty_after</t>
        </is>
      </c>
      <c r="I1" s="4" t="inlineStr">
        <is>
          <t>value_after</t>
        </is>
      </c>
      <c r="J1" s="4" t="inlineStr">
        <is>
          <t>weight_after</t>
        </is>
      </c>
    </row>
    <row r="2">
      <c r="A2" s="5" t="inlineStr">
        <is>
          <t>DJ30</t>
        </is>
      </c>
      <c r="B2" s="5" t="inlineStr">
        <is>
          <t>2026-06-19</t>
        </is>
      </c>
      <c r="C2" s="5" t="inlineStr">
        <is>
          <t>DIA</t>
        </is>
      </c>
      <c r="D2" s="5" t="inlineStr">
        <is>
          <t>AAPL</t>
        </is>
      </c>
      <c r="E2" s="5" t="inlineStr">
        <is>
          <t>AAPL</t>
        </is>
      </c>
      <c r="F2" s="5" t="inlineStr">
        <is>
          <t>-</t>
        </is>
      </c>
      <c r="G2" s="6">
        <f>Rebalance_Audit!G2</f>
        <v/>
      </c>
      <c r="H2" s="8">
        <f>Rebalance_Audit!Q2</f>
        <v/>
      </c>
      <c r="I2" s="6">
        <f>Rebalance_Audit!R2</f>
        <v/>
      </c>
      <c r="J2" s="7">
        <f>Rebalance_Audit!S2</f>
        <v/>
      </c>
    </row>
    <row r="3">
      <c r="A3" s="5" t="inlineStr">
        <is>
          <t>DJ30</t>
        </is>
      </c>
      <c r="B3" s="5" t="inlineStr">
        <is>
          <t>2026-06-19</t>
        </is>
      </c>
      <c r="C3" s="5" t="inlineStr">
        <is>
          <t>DIA</t>
        </is>
      </c>
      <c r="D3" s="5" t="inlineStr">
        <is>
          <t>CAT</t>
        </is>
      </c>
      <c r="E3" s="5" t="inlineStr">
        <is>
          <t>CAT</t>
        </is>
      </c>
      <c r="F3" s="5" t="inlineStr">
        <is>
          <t>-</t>
        </is>
      </c>
      <c r="G3" s="6">
        <f>Rebalance_Audit!G7</f>
        <v/>
      </c>
      <c r="H3" s="8">
        <f>Rebalance_Audit!Q7</f>
        <v/>
      </c>
      <c r="I3" s="6">
        <f>Rebalance_Audit!R7</f>
        <v/>
      </c>
      <c r="J3" s="7">
        <f>Rebalance_Audit!S7</f>
        <v/>
      </c>
    </row>
    <row r="4">
      <c r="A4" s="5" t="inlineStr">
        <is>
          <t>DJ30</t>
        </is>
      </c>
      <c r="B4" s="5" t="inlineStr">
        <is>
          <t>2026-06-19</t>
        </is>
      </c>
      <c r="C4" s="5" t="inlineStr">
        <is>
          <t>DIA</t>
        </is>
      </c>
      <c r="D4" s="5" t="inlineStr">
        <is>
          <t>HON</t>
        </is>
      </c>
      <c r="E4" s="5" t="inlineStr">
        <is>
          <t>HON</t>
        </is>
      </c>
      <c r="F4" s="5" t="inlineStr">
        <is>
          <t>-</t>
        </is>
      </c>
      <c r="G4" s="6">
        <f>Rebalance_Audit!G14</f>
        <v/>
      </c>
      <c r="H4" s="8">
        <f>Rebalance_Audit!Q14</f>
        <v/>
      </c>
      <c r="I4" s="6">
        <f>Rebalance_Audit!R14</f>
        <v/>
      </c>
      <c r="J4" s="7">
        <f>Rebalance_Audit!S14</f>
        <v/>
      </c>
    </row>
    <row r="5">
      <c r="A5" s="5" t="inlineStr">
        <is>
          <t>DJ30</t>
        </is>
      </c>
      <c r="B5" s="5" t="inlineStr">
        <is>
          <t>2026-06-19</t>
        </is>
      </c>
      <c r="C5" s="5" t="inlineStr">
        <is>
          <t>DIA</t>
        </is>
      </c>
      <c r="D5" s="5" t="inlineStr">
        <is>
          <t>KO</t>
        </is>
      </c>
      <c r="E5" s="5" t="inlineStr">
        <is>
          <t>KO</t>
        </is>
      </c>
      <c r="F5" s="5" t="inlineStr">
        <is>
          <t>-</t>
        </is>
      </c>
      <c r="G5" s="6">
        <f>Rebalance_Audit!G18</f>
        <v/>
      </c>
      <c r="H5" s="8">
        <f>Rebalance_Audit!Q18</f>
        <v/>
      </c>
      <c r="I5" s="6">
        <f>Rebalance_Audit!R18</f>
        <v/>
      </c>
      <c r="J5" s="7">
        <f>Rebalance_Audit!S18</f>
        <v/>
      </c>
    </row>
    <row r="6">
      <c r="A6" s="5" t="inlineStr">
        <is>
          <t>DJ30</t>
        </is>
      </c>
      <c r="B6" s="5" t="inlineStr">
        <is>
          <t>2026-06-19</t>
        </is>
      </c>
      <c r="C6" s="5" t="inlineStr">
        <is>
          <t>DIA</t>
        </is>
      </c>
      <c r="D6" s="5" t="inlineStr">
        <is>
          <t>NKE</t>
        </is>
      </c>
      <c r="E6" s="5" t="inlineStr">
        <is>
          <t>NKE</t>
        </is>
      </c>
      <c r="F6" s="5" t="inlineStr">
        <is>
          <t>-</t>
        </is>
      </c>
      <c r="G6" s="6">
        <f>Rebalance_Audit!G23</f>
        <v/>
      </c>
      <c r="H6" s="8">
        <f>Rebalance_Audit!Q23</f>
        <v/>
      </c>
      <c r="I6" s="6">
        <f>Rebalance_Audit!R23</f>
        <v/>
      </c>
      <c r="J6" s="7">
        <f>Rebalance_Audit!S23</f>
        <v/>
      </c>
    </row>
    <row r="7">
      <c r="A7" s="5" t="inlineStr">
        <is>
          <t>DJ30</t>
        </is>
      </c>
      <c r="B7" s="5" t="inlineStr">
        <is>
          <t>2026-06-26</t>
        </is>
      </c>
      <c r="C7" s="5" t="inlineStr">
        <is>
          <t>DIA</t>
        </is>
      </c>
      <c r="D7" s="5" t="inlineStr">
        <is>
          <t>AMGN</t>
        </is>
      </c>
      <c r="E7" s="5" t="inlineStr">
        <is>
          <t>AMGN</t>
        </is>
      </c>
      <c r="F7" s="5" t="inlineStr">
        <is>
          <t>-</t>
        </is>
      </c>
      <c r="G7" s="6">
        <f>Rebalance_Audit!G34</f>
        <v/>
      </c>
      <c r="H7" s="8">
        <f>Rebalance_Audit!Q34</f>
        <v/>
      </c>
      <c r="I7" s="6">
        <f>Rebalance_Audit!R34</f>
        <v/>
      </c>
      <c r="J7" s="7">
        <f>Rebalance_Audit!S34</f>
        <v/>
      </c>
    </row>
    <row r="8">
      <c r="A8" s="5" t="inlineStr">
        <is>
          <t>DJ30</t>
        </is>
      </c>
      <c r="B8" s="5" t="inlineStr">
        <is>
          <t>2026-06-26</t>
        </is>
      </c>
      <c r="C8" s="5" t="inlineStr">
        <is>
          <t>DIA</t>
        </is>
      </c>
      <c r="D8" s="5" t="inlineStr">
        <is>
          <t>CAT</t>
        </is>
      </c>
      <c r="E8" s="5" t="inlineStr">
        <is>
          <t>CAT</t>
        </is>
      </c>
      <c r="F8" s="5" t="inlineStr">
        <is>
          <t>-</t>
        </is>
      </c>
      <c r="G8" s="6">
        <f>Rebalance_Audit!G38</f>
        <v/>
      </c>
      <c r="H8" s="8">
        <f>Rebalance_Audit!Q38</f>
        <v/>
      </c>
      <c r="I8" s="6">
        <f>Rebalance_Audit!R38</f>
        <v/>
      </c>
      <c r="J8" s="7">
        <f>Rebalance_Audit!S38</f>
        <v/>
      </c>
    </row>
    <row r="9">
      <c r="A9" s="5" t="inlineStr">
        <is>
          <t>DJ30</t>
        </is>
      </c>
      <c r="B9" s="5" t="inlineStr">
        <is>
          <t>2026-06-26</t>
        </is>
      </c>
      <c r="C9" s="5" t="inlineStr">
        <is>
          <t>DIA</t>
        </is>
      </c>
      <c r="D9" s="5" t="inlineStr">
        <is>
          <t>HON</t>
        </is>
      </c>
      <c r="E9" s="5" t="inlineStr">
        <is>
          <t>HON</t>
        </is>
      </c>
      <c r="F9" s="5" t="inlineStr">
        <is>
          <t>-</t>
        </is>
      </c>
      <c r="G9" s="6">
        <f>Rebalance_Audit!G45</f>
        <v/>
      </c>
      <c r="H9" s="8">
        <f>Rebalance_Audit!Q45</f>
        <v/>
      </c>
      <c r="I9" s="6">
        <f>Rebalance_Audit!R45</f>
        <v/>
      </c>
      <c r="J9" s="7">
        <f>Rebalance_Audit!S45</f>
        <v/>
      </c>
    </row>
    <row r="10">
      <c r="A10" s="5" t="inlineStr">
        <is>
          <t>DJ30</t>
        </is>
      </c>
      <c r="B10" s="5" t="inlineStr">
        <is>
          <t>2026-06-26</t>
        </is>
      </c>
      <c r="C10" s="5" t="inlineStr">
        <is>
          <t>DIA</t>
        </is>
      </c>
      <c r="D10" s="5" t="inlineStr">
        <is>
          <t>KO</t>
        </is>
      </c>
      <c r="E10" s="5" t="inlineStr">
        <is>
          <t>KO</t>
        </is>
      </c>
      <c r="F10" s="5" t="inlineStr">
        <is>
          <t>-</t>
        </is>
      </c>
      <c r="G10" s="6">
        <f>Rebalance_Audit!G49</f>
        <v/>
      </c>
      <c r="H10" s="8">
        <f>Rebalance_Audit!Q49</f>
        <v/>
      </c>
      <c r="I10" s="6">
        <f>Rebalance_Audit!R49</f>
        <v/>
      </c>
      <c r="J10" s="7">
        <f>Rebalance_Audit!S49</f>
        <v/>
      </c>
    </row>
    <row r="11">
      <c r="A11" s="5" t="inlineStr">
        <is>
          <t>DJ30</t>
        </is>
      </c>
      <c r="B11" s="5" t="inlineStr">
        <is>
          <t>2026-06-26</t>
        </is>
      </c>
      <c r="C11" s="5" t="inlineStr">
        <is>
          <t>DIA</t>
        </is>
      </c>
      <c r="D11" s="5" t="inlineStr">
        <is>
          <t>NKE</t>
        </is>
      </c>
      <c r="E11" s="5" t="inlineStr">
        <is>
          <t>NKE</t>
        </is>
      </c>
      <c r="F11" s="5" t="inlineStr">
        <is>
          <t>-</t>
        </is>
      </c>
      <c r="G11" s="6">
        <f>Rebalance_Audit!G54</f>
        <v/>
      </c>
      <c r="H11" s="8">
        <f>Rebalance_Audit!Q54</f>
        <v/>
      </c>
      <c r="I11" s="6">
        <f>Rebalance_Audit!R54</f>
        <v/>
      </c>
      <c r="J11" s="7">
        <f>Rebalance_Audit!S54</f>
        <v/>
      </c>
    </row>
    <row r="12">
      <c r="A12" s="5" t="inlineStr">
        <is>
          <t>DJ30</t>
        </is>
      </c>
      <c r="B12" s="5" t="inlineStr">
        <is>
          <t>2026-07-03</t>
        </is>
      </c>
      <c r="C12" s="5" t="inlineStr">
        <is>
          <t>DIA</t>
        </is>
      </c>
      <c r="D12" s="5" t="inlineStr">
        <is>
          <t>AMGN</t>
        </is>
      </c>
      <c r="E12" s="5" t="inlineStr">
        <is>
          <t>AMGN</t>
        </is>
      </c>
      <c r="F12" s="5" t="inlineStr">
        <is>
          <t>-</t>
        </is>
      </c>
      <c r="G12" s="6">
        <f>Rebalance_Audit!G65</f>
        <v/>
      </c>
      <c r="H12" s="8">
        <f>Rebalance_Audit!Q65</f>
        <v/>
      </c>
      <c r="I12" s="6">
        <f>Rebalance_Audit!R65</f>
        <v/>
      </c>
      <c r="J12" s="7">
        <f>Rebalance_Audit!S65</f>
        <v/>
      </c>
    </row>
    <row r="13">
      <c r="A13" s="5" t="inlineStr">
        <is>
          <t>DJ30</t>
        </is>
      </c>
      <c r="B13" s="5" t="inlineStr">
        <is>
          <t>2026-07-03</t>
        </is>
      </c>
      <c r="C13" s="5" t="inlineStr">
        <is>
          <t>DIA</t>
        </is>
      </c>
      <c r="D13" s="5" t="inlineStr">
        <is>
          <t>CAT</t>
        </is>
      </c>
      <c r="E13" s="5" t="inlineStr">
        <is>
          <t>CAT</t>
        </is>
      </c>
      <c r="F13" s="5" t="inlineStr">
        <is>
          <t>-</t>
        </is>
      </c>
      <c r="G13" s="6">
        <f>Rebalance_Audit!G69</f>
        <v/>
      </c>
      <c r="H13" s="8">
        <f>Rebalance_Audit!Q69</f>
        <v/>
      </c>
      <c r="I13" s="6">
        <f>Rebalance_Audit!R69</f>
        <v/>
      </c>
      <c r="J13" s="7">
        <f>Rebalance_Audit!S69</f>
        <v/>
      </c>
    </row>
    <row r="14">
      <c r="A14" s="5" t="inlineStr">
        <is>
          <t>DJ30</t>
        </is>
      </c>
      <c r="B14" s="5" t="inlineStr">
        <is>
          <t>2026-07-03</t>
        </is>
      </c>
      <c r="C14" s="5" t="inlineStr">
        <is>
          <t>DIA</t>
        </is>
      </c>
      <c r="D14" s="5" t="inlineStr">
        <is>
          <t>HON</t>
        </is>
      </c>
      <c r="E14" s="5" t="inlineStr">
        <is>
          <t>HON</t>
        </is>
      </c>
      <c r="F14" s="5" t="inlineStr">
        <is>
          <t>-</t>
        </is>
      </c>
      <c r="G14" s="6">
        <f>Rebalance_Audit!G76</f>
        <v/>
      </c>
      <c r="H14" s="8">
        <f>Rebalance_Audit!Q76</f>
        <v/>
      </c>
      <c r="I14" s="6">
        <f>Rebalance_Audit!R76</f>
        <v/>
      </c>
      <c r="J14" s="7">
        <f>Rebalance_Audit!S76</f>
        <v/>
      </c>
    </row>
    <row r="15">
      <c r="A15" s="5" t="inlineStr">
        <is>
          <t>DJ30</t>
        </is>
      </c>
      <c r="B15" s="5" t="inlineStr">
        <is>
          <t>2026-07-03</t>
        </is>
      </c>
      <c r="C15" s="5" t="inlineStr">
        <is>
          <t>DIA</t>
        </is>
      </c>
      <c r="D15" s="5" t="inlineStr">
        <is>
          <t>MSFT</t>
        </is>
      </c>
      <c r="E15" s="5" t="inlineStr">
        <is>
          <t>MSFT</t>
        </is>
      </c>
      <c r="F15" s="5" t="inlineStr">
        <is>
          <t>-</t>
        </is>
      </c>
      <c r="G15" s="6">
        <f>Rebalance_Audit!G84</f>
        <v/>
      </c>
      <c r="H15" s="8">
        <f>Rebalance_Audit!Q84</f>
        <v/>
      </c>
      <c r="I15" s="6">
        <f>Rebalance_Audit!R84</f>
        <v/>
      </c>
      <c r="J15" s="7">
        <f>Rebalance_Audit!S84</f>
        <v/>
      </c>
    </row>
    <row r="16">
      <c r="A16" s="5" t="inlineStr">
        <is>
          <t>DJ30</t>
        </is>
      </c>
      <c r="B16" s="5" t="inlineStr">
        <is>
          <t>2026-07-03</t>
        </is>
      </c>
      <c r="C16" s="5" t="inlineStr">
        <is>
          <t>DIA</t>
        </is>
      </c>
      <c r="D16" s="5" t="inlineStr">
        <is>
          <t>NKE</t>
        </is>
      </c>
      <c r="E16" s="5" t="inlineStr">
        <is>
          <t>NKE</t>
        </is>
      </c>
      <c r="F16" s="5" t="inlineStr">
        <is>
          <t>-</t>
        </is>
      </c>
      <c r="G16" s="6">
        <f>Rebalance_Audit!G85</f>
        <v/>
      </c>
      <c r="H16" s="8">
        <f>Rebalance_Audit!Q85</f>
        <v/>
      </c>
      <c r="I16" s="6">
        <f>Rebalance_Audit!R85</f>
        <v/>
      </c>
      <c r="J16" s="7">
        <f>Rebalance_Audit!S85</f>
        <v/>
      </c>
    </row>
  </sheetData>
  <autoFilter ref="A1:J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2026-07-01T15:04:45Z</dcterms:created>
  <dcterms:modified xmlns:dcterms="http://purl.org/dc/terms/" xmlns:xsi="http://www.w3.org/2001/XMLSchema-instance" xsi:type="dcterms:W3CDTF">2026-07-01T15:04:46Z</dcterms:modified>
</cp:coreProperties>
</file>