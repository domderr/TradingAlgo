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Foglio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yyyy-mm-dd h:mm:ss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b val="1"/>
      <color rgb="001F4E7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D9EAF7"/>
      </patternFill>
    </fill>
    <fill>
      <patternFill patternType="solid">
        <fgColor rgb="001F4E79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">
    <xf numFmtId="0" fontId="0" fillId="0" borderId="0" pivotButton="0" quotePrefix="0" xfId="0"/>
    <xf numFmtId="164" fontId="0" fillId="0" borderId="0" pivotButton="0" quotePrefix="0" xfId="1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9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16" fontId="0" fillId="0" borderId="2" pivotButton="0" quotePrefix="0" xfId="0"/>
    <xf numFmtId="0" fontId="1" fillId="0" borderId="2" pivotButton="0" quotePrefix="0" xfId="0"/>
    <xf numFmtId="0" fontId="0" fillId="0" borderId="3" pivotButton="0" quotePrefix="0" xfId="0"/>
    <xf numFmtId="0" fontId="1" fillId="0" borderId="0" pivotButton="0" quotePrefix="0" xfId="0"/>
    <xf numFmtId="0" fontId="0" fillId="0" borderId="7" pivotButton="0" quotePrefix="0" xfId="0"/>
    <xf numFmtId="0" fontId="0" fillId="0" borderId="7" pivotButton="0" quotePrefix="0" xfId="0"/>
    <xf numFmtId="0" fontId="0" fillId="0" borderId="8" pivotButton="0" quotePrefix="0" xfId="0"/>
    <xf numFmtId="9" fontId="0" fillId="0" borderId="5" pivotButton="0" quotePrefix="0" xfId="2"/>
    <xf numFmtId="9" fontId="0" fillId="0" borderId="8" pivotButton="0" quotePrefix="0" xfId="2"/>
    <xf numFmtId="9" fontId="0" fillId="0" borderId="0" pivotButton="0" quotePrefix="0" xfId="2"/>
    <xf numFmtId="164" fontId="0" fillId="0" borderId="0" pivotButton="0" quotePrefix="0" xfId="0"/>
    <xf numFmtId="164" fontId="0" fillId="0" borderId="0" pivotButton="0" quotePrefix="0" xfId="1"/>
    <xf numFmtId="0" fontId="0" fillId="2" borderId="4" pivotButton="0" quotePrefix="0" xfId="0"/>
    <xf numFmtId="0" fontId="0" fillId="3" borderId="4" pivotButton="0" quotePrefix="0" xfId="0"/>
    <xf numFmtId="164" fontId="0" fillId="0" borderId="7" pivotButton="0" quotePrefix="0" xfId="1"/>
    <xf numFmtId="0" fontId="0" fillId="0" borderId="1" applyAlignment="1" pivotButton="0" quotePrefix="0" xfId="0">
      <alignment horizontal="center" vertical="center"/>
    </xf>
    <xf numFmtId="164" fontId="0" fillId="0" borderId="1" pivotButton="0" quotePrefix="0" xfId="1"/>
    <xf numFmtId="164" fontId="0" fillId="0" borderId="2" pivotButton="0" quotePrefix="0" xfId="0"/>
    <xf numFmtId="9" fontId="0" fillId="0" borderId="3" pivotButton="0" quotePrefix="0" xfId="2"/>
    <xf numFmtId="164" fontId="0" fillId="0" borderId="4" pivotButton="0" quotePrefix="0" xfId="1"/>
    <xf numFmtId="0" fontId="0" fillId="4" borderId="4" pivotButton="0" quotePrefix="0" xfId="0"/>
    <xf numFmtId="0" fontId="0" fillId="3" borderId="6" pivotButton="0" quotePrefix="0" xfId="0"/>
    <xf numFmtId="164" fontId="0" fillId="0" borderId="0" pivotButton="0" quotePrefix="0" xfId="1"/>
    <xf numFmtId="0" fontId="3" fillId="5" borderId="9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5" borderId="2" applyAlignment="1" pivotButton="0" quotePrefix="0" xfId="0">
      <alignment horizontal="center"/>
    </xf>
    <xf numFmtId="0" fontId="4" fillId="6" borderId="6" applyAlignment="1" pivotButton="0" quotePrefix="0" xfId="0">
      <alignment horizontal="center"/>
    </xf>
    <xf numFmtId="0" fontId="4" fillId="6" borderId="7" applyAlignment="1" pivotButton="0" quotePrefix="0" xfId="0">
      <alignment horizontal="center"/>
    </xf>
    <xf numFmtId="9" fontId="4" fillId="6" borderId="8" applyAlignment="1" pivotButton="0" quotePrefix="0" xfId="2">
      <alignment horizontal="center"/>
    </xf>
    <xf numFmtId="164" fontId="4" fillId="6" borderId="7" applyAlignment="1" pivotButton="0" quotePrefix="0" xfId="1">
      <alignment horizontal="center"/>
    </xf>
    <xf numFmtId="0" fontId="4" fillId="6" borderId="8" applyAlignment="1" pivotButton="0" quotePrefix="0" xfId="0">
      <alignment horizontal="center"/>
    </xf>
    <xf numFmtId="164" fontId="0" fillId="0" borderId="1" pivotButton="0" quotePrefix="0" xfId="1"/>
    <xf numFmtId="164" fontId="0" fillId="0" borderId="2" pivotButton="0" quotePrefix="0" xfId="0"/>
    <xf numFmtId="165" fontId="0" fillId="0" borderId="0" pivotButton="0" quotePrefix="0" xfId="0"/>
    <xf numFmtId="164" fontId="0" fillId="0" borderId="4" pivotButton="0" quotePrefix="0" xfId="1"/>
    <xf numFmtId="164" fontId="0" fillId="0" borderId="0" pivotButton="0" quotePrefix="0" xfId="0"/>
    <xf numFmtId="165" fontId="0" fillId="0" borderId="7" pivotButton="0" quotePrefix="0" xfId="0"/>
    <xf numFmtId="164" fontId="0" fillId="0" borderId="7" pivotButton="0" quotePrefix="0" xfId="1"/>
  </cellXfs>
  <cellStyles count="3">
    <cellStyle name="Normale" xfId="0" builtinId="0"/>
    <cellStyle name="Migliaia" xfId="1" builtinId="3"/>
    <cellStyle name="Percentuale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tabSelected="1" workbookViewId="0">
      <pane ySplit="2" topLeftCell="A3" activePane="bottomLeft" state="frozen"/>
      <selection pane="bottomLeft" activeCell="I55" sqref="I55"/>
    </sheetView>
  </sheetViews>
  <sheetFormatPr baseColWidth="8" defaultRowHeight="15"/>
  <cols>
    <col width="12" customWidth="1" style="6" min="1" max="1"/>
    <col width="14" customWidth="1" style="6" min="2" max="2"/>
    <col width="14" bestFit="1" customWidth="1" style="6" min="3" max="3"/>
    <col width="12" customWidth="1" style="6" min="4" max="4"/>
    <col width="18" customWidth="1" style="6" min="5" max="5"/>
    <col width="12" customWidth="1" style="6" min="6" max="6"/>
    <col width="14" customWidth="1" style="6" min="7" max="7"/>
    <col width="14" customWidth="1" style="23" min="8" max="8"/>
    <col width="12" customWidth="1" style="6" min="9" max="9"/>
    <col width="14" customWidth="1" style="6" min="10" max="10"/>
    <col width="14" customWidth="1" style="36" min="11" max="11"/>
    <col width="14" customWidth="1" style="6" min="12" max="12"/>
    <col width="16" customWidth="1" style="6" min="13" max="16"/>
    <col width="12" customWidth="1" style="6" min="14" max="14"/>
    <col width="14" customWidth="1" style="6" min="15" max="15"/>
    <col width="14" customWidth="1" style="6" min="16" max="16"/>
  </cols>
  <sheetData>
    <row r="1">
      <c r="A1" s="12" t="n"/>
      <c r="B1" s="13" t="n"/>
      <c r="C1" s="13" t="n"/>
      <c r="D1" s="13" t="n"/>
      <c r="E1" s="37" t="inlineStr">
        <is>
          <t>before rebalancing</t>
        </is>
      </c>
      <c r="F1" s="13" t="n"/>
      <c r="G1" s="13" t="n"/>
      <c r="H1" s="16" t="n"/>
      <c r="I1" s="38" t="inlineStr">
        <is>
          <t>rebalancing</t>
        </is>
      </c>
      <c r="J1" s="13" t="n"/>
      <c r="K1" s="13" t="n"/>
      <c r="L1" s="13" t="n"/>
      <c r="M1" s="29" t="n"/>
      <c r="N1" s="39" t="inlineStr">
        <is>
          <t>after rebalancing</t>
        </is>
      </c>
      <c r="O1" s="13" t="n"/>
      <c r="P1" s="16" t="n"/>
    </row>
    <row r="2">
      <c r="A2" s="40" t="inlineStr">
        <is>
          <t>Market</t>
        </is>
      </c>
      <c r="B2" s="41" t="inlineStr">
        <is>
          <t>WeekEnding</t>
        </is>
      </c>
      <c r="C2" s="41" t="inlineStr">
        <is>
          <t>Asset</t>
        </is>
      </c>
      <c r="D2" s="41" t="inlineStr">
        <is>
          <t>last_price</t>
        </is>
      </c>
      <c r="E2" s="40" t="inlineStr">
        <is>
          <t>position_before</t>
        </is>
      </c>
      <c r="F2" s="41" t="inlineStr">
        <is>
          <t>qty_before</t>
        </is>
      </c>
      <c r="G2" s="41" t="inlineStr">
        <is>
          <t>value_before</t>
        </is>
      </c>
      <c r="H2" s="42" t="inlineStr">
        <is>
          <t>weight_before</t>
        </is>
      </c>
      <c r="I2" s="40" t="inlineStr">
        <is>
          <t>Status</t>
        </is>
      </c>
      <c r="J2" s="41" t="inlineStr">
        <is>
          <t>target_weight</t>
        </is>
      </c>
      <c r="K2" s="43" t="inlineStr">
        <is>
          <t>value_change</t>
        </is>
      </c>
      <c r="L2" s="41" t="inlineStr">
        <is>
          <t>qty_change</t>
        </is>
      </c>
      <c r="M2" s="40" t="inlineStr">
        <is>
          <t>position_after</t>
        </is>
      </c>
      <c r="N2" s="41" t="inlineStr">
        <is>
          <t>qty_after</t>
        </is>
      </c>
      <c r="O2" s="41" t="inlineStr">
        <is>
          <t>value_after</t>
        </is>
      </c>
      <c r="P2" s="44" t="inlineStr">
        <is>
          <t>weight_after</t>
        </is>
      </c>
    </row>
    <row r="3">
      <c r="A3" s="12" t="inlineStr">
        <is>
          <t>DJ30</t>
        </is>
      </c>
      <c r="B3" s="14" t="n">
        <v>46192</v>
      </c>
      <c r="C3" s="15" t="inlineStr">
        <is>
          <t>AAPL</t>
        </is>
      </c>
      <c r="D3" s="16" t="n">
        <v>110</v>
      </c>
      <c r="E3" s="5">
        <f>+C3</f>
        <v/>
      </c>
      <c r="F3" t="n">
        <v>200</v>
      </c>
      <c r="G3">
        <f>+F3*D3</f>
        <v/>
      </c>
      <c r="H3" s="21">
        <f>+G3/$G$33</f>
        <v/>
      </c>
      <c r="I3" s="26" t="inlineStr">
        <is>
          <t>SELECTED</t>
        </is>
      </c>
      <c r="J3" s="11" t="n">
        <v>0.2</v>
      </c>
      <c r="K3" s="36">
        <f>+(J3-H3)*$G$33</f>
        <v/>
      </c>
      <c r="L3" s="36">
        <f>+K3/D3</f>
        <v/>
      </c>
      <c r="M3" s="45">
        <f>IF(N3=0,"",C3)</f>
        <v/>
      </c>
      <c r="N3" s="46">
        <f>+F3+L3</f>
        <v/>
      </c>
      <c r="O3" s="13">
        <f>+N3*D3</f>
        <v/>
      </c>
      <c r="P3" s="32">
        <f>+O3/$O$33</f>
        <v/>
      </c>
    </row>
    <row r="4">
      <c r="A4" s="5" t="inlineStr">
        <is>
          <t>DJ30</t>
        </is>
      </c>
      <c r="B4" s="47" t="n">
        <v>46192</v>
      </c>
      <c r="C4" s="17" t="inlineStr">
        <is>
          <t>AMGN</t>
        </is>
      </c>
      <c r="D4" s="7" t="n">
        <v>100</v>
      </c>
      <c r="E4" s="5" t="n"/>
      <c r="G4">
        <f>+F4*D4</f>
        <v/>
      </c>
      <c r="H4" s="21">
        <f>+G4/$G$33</f>
        <v/>
      </c>
      <c r="I4" s="34" t="inlineStr">
        <is>
          <t>WATCHLIST</t>
        </is>
      </c>
      <c r="K4" s="36">
        <f>+(J4-H4)*$G$33</f>
        <v/>
      </c>
      <c r="L4" s="36">
        <f>+K4/D4</f>
        <v/>
      </c>
      <c r="M4" s="48">
        <f>IF(N4=0,"",C4)</f>
        <v/>
      </c>
      <c r="N4" s="49">
        <f>+F4+L4</f>
        <v/>
      </c>
      <c r="O4">
        <f>+N4*D4</f>
        <v/>
      </c>
      <c r="P4" s="21">
        <f>+O4/$O$33</f>
        <v/>
      </c>
    </row>
    <row r="5">
      <c r="A5" s="5" t="inlineStr">
        <is>
          <t>DJ30</t>
        </is>
      </c>
      <c r="B5" s="47" t="n">
        <v>46192</v>
      </c>
      <c r="C5" s="17" t="inlineStr">
        <is>
          <t>AMZN</t>
        </is>
      </c>
      <c r="D5" s="7" t="n">
        <v>100</v>
      </c>
      <c r="E5" s="5" t="n"/>
      <c r="G5">
        <f>+F5*D5</f>
        <v/>
      </c>
      <c r="H5" s="21">
        <f>+G5/$G$33</f>
        <v/>
      </c>
      <c r="I5" s="34" t="inlineStr">
        <is>
          <t>WATCHLIST</t>
        </is>
      </c>
      <c r="K5" s="36">
        <f>+(J5-H5)*$G$33</f>
        <v/>
      </c>
      <c r="L5" s="36">
        <f>+K5/D5</f>
        <v/>
      </c>
      <c r="M5" s="48">
        <f>IF(N5=0,"",C5)</f>
        <v/>
      </c>
      <c r="N5" s="49">
        <f>+F5+L5</f>
        <v/>
      </c>
      <c r="O5">
        <f>+N5*D5</f>
        <v/>
      </c>
      <c r="P5" s="21">
        <f>+O5/$O$33</f>
        <v/>
      </c>
    </row>
    <row r="6">
      <c r="A6" s="5" t="inlineStr">
        <is>
          <t>DJ30</t>
        </is>
      </c>
      <c r="B6" s="47" t="n">
        <v>46192</v>
      </c>
      <c r="C6" s="17" t="inlineStr">
        <is>
          <t>AXP</t>
        </is>
      </c>
      <c r="D6" s="7" t="n">
        <v>100</v>
      </c>
      <c r="E6" s="5" t="n"/>
      <c r="G6">
        <f>+F6*D6</f>
        <v/>
      </c>
      <c r="H6" s="21">
        <f>+G6/$G$33</f>
        <v/>
      </c>
      <c r="I6" s="34" t="inlineStr">
        <is>
          <t>WATCHLIST</t>
        </is>
      </c>
      <c r="K6" s="36">
        <f>+(J6-H6)*$G$33</f>
        <v/>
      </c>
      <c r="L6" s="36">
        <f>+K6/D6</f>
        <v/>
      </c>
      <c r="M6" s="48">
        <f>IF(N6=0,"",C6)</f>
        <v/>
      </c>
      <c r="N6" s="49">
        <f>+F6+L6</f>
        <v/>
      </c>
      <c r="O6">
        <f>+N6*D6</f>
        <v/>
      </c>
      <c r="P6" s="21">
        <f>+O6/$O$33</f>
        <v/>
      </c>
    </row>
    <row r="7">
      <c r="A7" s="5" t="inlineStr">
        <is>
          <t>DJ30</t>
        </is>
      </c>
      <c r="B7" s="47" t="n">
        <v>46192</v>
      </c>
      <c r="C7" s="17" t="inlineStr">
        <is>
          <t>BA</t>
        </is>
      </c>
      <c r="D7" s="7" t="n">
        <v>100</v>
      </c>
      <c r="E7" s="5" t="n"/>
      <c r="G7">
        <f>+F7*D7</f>
        <v/>
      </c>
      <c r="H7" s="21">
        <f>+G7/$G$33</f>
        <v/>
      </c>
      <c r="I7" s="34" t="inlineStr">
        <is>
          <t>WATCHLIST</t>
        </is>
      </c>
      <c r="K7" s="36">
        <f>+(J7-H7)*$G$33</f>
        <v/>
      </c>
      <c r="L7" s="36">
        <f>+K7/D7</f>
        <v/>
      </c>
      <c r="M7" s="48">
        <f>IF(N7=0,"",C7)</f>
        <v/>
      </c>
      <c r="N7" s="49">
        <f>+F7+L7</f>
        <v/>
      </c>
      <c r="O7">
        <f>+N7*D7</f>
        <v/>
      </c>
      <c r="P7" s="21">
        <f>+O7/$O$33</f>
        <v/>
      </c>
    </row>
    <row r="8">
      <c r="A8" s="5" t="inlineStr">
        <is>
          <t>DJ30</t>
        </is>
      </c>
      <c r="B8" s="47" t="n">
        <v>46192</v>
      </c>
      <c r="C8" s="17" t="inlineStr">
        <is>
          <t>CAT</t>
        </is>
      </c>
      <c r="D8" s="7" t="n">
        <v>90</v>
      </c>
      <c r="E8" s="5">
        <f>+C8</f>
        <v/>
      </c>
      <c r="F8" t="n">
        <v>200</v>
      </c>
      <c r="G8">
        <f>+F8*D8</f>
        <v/>
      </c>
      <c r="H8" s="21">
        <f>+G8/$G$33</f>
        <v/>
      </c>
      <c r="I8" s="26" t="inlineStr">
        <is>
          <t>SELECTED</t>
        </is>
      </c>
      <c r="J8" s="11" t="n">
        <v>0.2</v>
      </c>
      <c r="K8" s="36">
        <f>+(J8-H8)*$G$33</f>
        <v/>
      </c>
      <c r="L8" s="36">
        <f>+K8/D8</f>
        <v/>
      </c>
      <c r="M8" s="48">
        <f>IF(N8=0,"",C8)</f>
        <v/>
      </c>
      <c r="N8" s="49">
        <f>+F8+L8</f>
        <v/>
      </c>
      <c r="O8">
        <f>+N8*D8</f>
        <v/>
      </c>
      <c r="P8" s="21">
        <f>+O8/$O$33</f>
        <v/>
      </c>
    </row>
    <row r="9">
      <c r="A9" s="5" t="inlineStr">
        <is>
          <t>DJ30</t>
        </is>
      </c>
      <c r="B9" s="47" t="n">
        <v>46192</v>
      </c>
      <c r="C9" s="17" t="inlineStr">
        <is>
          <t>CRM</t>
        </is>
      </c>
      <c r="D9" s="7" t="n">
        <v>100</v>
      </c>
      <c r="E9" s="5" t="n"/>
      <c r="G9">
        <f>+F9*D9</f>
        <v/>
      </c>
      <c r="H9" s="21">
        <f>+G9/$G$33</f>
        <v/>
      </c>
      <c r="I9" s="34" t="inlineStr">
        <is>
          <t>WATCHLIST</t>
        </is>
      </c>
      <c r="K9" s="36">
        <f>+(J9-H9)*$G$33</f>
        <v/>
      </c>
      <c r="L9" s="36">
        <f>+K9/D9</f>
        <v/>
      </c>
      <c r="M9" s="48">
        <f>IF(N9=0,"",C9)</f>
        <v/>
      </c>
      <c r="N9" s="49">
        <f>+F9+L9</f>
        <v/>
      </c>
      <c r="O9">
        <f>+N9*D9</f>
        <v/>
      </c>
      <c r="P9" s="21">
        <f>+O9/$O$33</f>
        <v/>
      </c>
    </row>
    <row r="10">
      <c r="A10" s="5" t="inlineStr">
        <is>
          <t>DJ30</t>
        </is>
      </c>
      <c r="B10" s="47" t="n">
        <v>46192</v>
      </c>
      <c r="C10" s="17" t="inlineStr">
        <is>
          <t>CSCO</t>
        </is>
      </c>
      <c r="D10" s="7" t="n">
        <v>100</v>
      </c>
      <c r="E10" s="5" t="n"/>
      <c r="G10">
        <f>+F10*D10</f>
        <v/>
      </c>
      <c r="H10" s="21">
        <f>+G10/$G$33</f>
        <v/>
      </c>
      <c r="I10" s="34" t="inlineStr">
        <is>
          <t>WATCHLIST</t>
        </is>
      </c>
      <c r="K10" s="36">
        <f>+(J10-H10)*$G$33</f>
        <v/>
      </c>
      <c r="L10" s="36">
        <f>+K10/D10</f>
        <v/>
      </c>
      <c r="M10" s="48">
        <f>IF(N10=0,"",C10)</f>
        <v/>
      </c>
      <c r="N10" s="49">
        <f>+F10+L10</f>
        <v/>
      </c>
      <c r="O10">
        <f>+N10*D10</f>
        <v/>
      </c>
      <c r="P10" s="21">
        <f>+O10/$O$33</f>
        <v/>
      </c>
    </row>
    <row r="11">
      <c r="A11" s="5" t="inlineStr">
        <is>
          <t>DJ30</t>
        </is>
      </c>
      <c r="B11" s="47" t="n">
        <v>46192</v>
      </c>
      <c r="C11" s="17" t="inlineStr">
        <is>
          <t>CVX</t>
        </is>
      </c>
      <c r="D11" s="7" t="n">
        <v>100</v>
      </c>
      <c r="E11" s="5" t="n"/>
      <c r="G11">
        <f>+F11*D11</f>
        <v/>
      </c>
      <c r="H11" s="21">
        <f>+G11/$G$33</f>
        <v/>
      </c>
      <c r="I11" s="34" t="inlineStr">
        <is>
          <t>WATCHLIST</t>
        </is>
      </c>
      <c r="K11" s="36">
        <f>+(J11-H11)*$G$33</f>
        <v/>
      </c>
      <c r="L11" s="36">
        <f>+K11/D11</f>
        <v/>
      </c>
      <c r="M11" s="48">
        <f>IF(N11=0,"",C11)</f>
        <v/>
      </c>
      <c r="N11" s="49">
        <f>+F11+L11</f>
        <v/>
      </c>
      <c r="O11">
        <f>+N11*D11</f>
        <v/>
      </c>
      <c r="P11" s="21">
        <f>+O11/$O$33</f>
        <v/>
      </c>
    </row>
    <row r="12">
      <c r="A12" s="5" t="inlineStr">
        <is>
          <t>DJ30</t>
        </is>
      </c>
      <c r="B12" s="47" t="n">
        <v>46192</v>
      </c>
      <c r="C12" s="17" t="inlineStr">
        <is>
          <t>DIS</t>
        </is>
      </c>
      <c r="D12" s="7" t="n">
        <v>100</v>
      </c>
      <c r="E12" s="5" t="n"/>
      <c r="G12">
        <f>+F12*D12</f>
        <v/>
      </c>
      <c r="H12" s="21">
        <f>+G12/$G$33</f>
        <v/>
      </c>
      <c r="I12" s="34" t="inlineStr">
        <is>
          <t>WATCHLIST</t>
        </is>
      </c>
      <c r="K12" s="36">
        <f>+(J12-H12)*$G$33</f>
        <v/>
      </c>
      <c r="L12" s="36">
        <f>+K12/D12</f>
        <v/>
      </c>
      <c r="M12" s="48">
        <f>IF(N12=0,"",C12)</f>
        <v/>
      </c>
      <c r="N12" s="49">
        <f>+F12+L12</f>
        <v/>
      </c>
      <c r="O12">
        <f>+N12*D12</f>
        <v/>
      </c>
      <c r="P12" s="21">
        <f>+O12/$O$33</f>
        <v/>
      </c>
    </row>
    <row r="13">
      <c r="A13" s="5" t="inlineStr">
        <is>
          <t>DJ30</t>
        </is>
      </c>
      <c r="B13" s="47" t="n">
        <v>46192</v>
      </c>
      <c r="C13" s="17" t="inlineStr">
        <is>
          <t>GS</t>
        </is>
      </c>
      <c r="D13" s="7" t="n">
        <v>100</v>
      </c>
      <c r="E13" s="5" t="n"/>
      <c r="G13">
        <f>+F13*D13</f>
        <v/>
      </c>
      <c r="H13" s="21">
        <f>+G13/$G$33</f>
        <v/>
      </c>
      <c r="I13" s="27" t="inlineStr">
        <is>
          <t>REJECTED</t>
        </is>
      </c>
      <c r="K13" s="36">
        <f>+(J13-H13)*$G$33</f>
        <v/>
      </c>
      <c r="L13" s="36">
        <f>+K13/D13</f>
        <v/>
      </c>
      <c r="M13" s="48">
        <f>IF(N13=0,"",C13)</f>
        <v/>
      </c>
      <c r="N13" s="49">
        <f>+F13+L13</f>
        <v/>
      </c>
      <c r="O13">
        <f>+N13*D13</f>
        <v/>
      </c>
      <c r="P13" s="21">
        <f>+O13/$O$33</f>
        <v/>
      </c>
    </row>
    <row r="14">
      <c r="A14" s="5" t="inlineStr">
        <is>
          <t>DJ30</t>
        </is>
      </c>
      <c r="B14" s="47" t="n">
        <v>46192</v>
      </c>
      <c r="C14" s="17" t="inlineStr">
        <is>
          <t>HD</t>
        </is>
      </c>
      <c r="D14" s="7" t="n">
        <v>100</v>
      </c>
      <c r="E14" s="5" t="n"/>
      <c r="G14">
        <f>+F14*D14</f>
        <v/>
      </c>
      <c r="H14" s="21">
        <f>+G14/$G$33</f>
        <v/>
      </c>
      <c r="I14" s="27" t="inlineStr">
        <is>
          <t>REJECTED</t>
        </is>
      </c>
      <c r="K14" s="36">
        <f>+(J14-H14)*$G$33</f>
        <v/>
      </c>
      <c r="L14" s="36">
        <f>+K14/D14</f>
        <v/>
      </c>
      <c r="M14" s="48">
        <f>IF(N14=0,"",C14)</f>
        <v/>
      </c>
      <c r="N14" s="49">
        <f>+F14+L14</f>
        <v/>
      </c>
      <c r="O14">
        <f>+N14*D14</f>
        <v/>
      </c>
      <c r="P14" s="21">
        <f>+O14/$O$33</f>
        <v/>
      </c>
    </row>
    <row r="15">
      <c r="A15" s="5" t="inlineStr">
        <is>
          <t>DJ30</t>
        </is>
      </c>
      <c r="B15" s="47" t="n">
        <v>46192</v>
      </c>
      <c r="C15" s="17" t="inlineStr">
        <is>
          <t>HON</t>
        </is>
      </c>
      <c r="D15" s="7" t="n">
        <v>102</v>
      </c>
      <c r="E15" s="5">
        <f>+C15</f>
        <v/>
      </c>
      <c r="F15" t="n">
        <v>200</v>
      </c>
      <c r="G15">
        <f>+F15*D15</f>
        <v/>
      </c>
      <c r="H15" s="21">
        <f>+G15/$G$33</f>
        <v/>
      </c>
      <c r="I15" s="26" t="inlineStr">
        <is>
          <t>SELECTED</t>
        </is>
      </c>
      <c r="J15" s="11" t="n">
        <v>0.2</v>
      </c>
      <c r="K15" s="36">
        <f>+(J15-H15)*$G$33</f>
        <v/>
      </c>
      <c r="L15" s="36">
        <f>+K15/D15</f>
        <v/>
      </c>
      <c r="M15" s="48">
        <f>IF(N15=0,"",C15)</f>
        <v/>
      </c>
      <c r="N15" s="49">
        <f>+F15+L15</f>
        <v/>
      </c>
      <c r="O15">
        <f>+N15*D15</f>
        <v/>
      </c>
      <c r="P15" s="21">
        <f>+O15/$O$33</f>
        <v/>
      </c>
    </row>
    <row r="16">
      <c r="A16" s="5" t="inlineStr">
        <is>
          <t>DJ30</t>
        </is>
      </c>
      <c r="B16" s="47" t="n">
        <v>46192</v>
      </c>
      <c r="C16" s="17" t="inlineStr">
        <is>
          <t>IBM</t>
        </is>
      </c>
      <c r="D16" s="7" t="n">
        <v>100</v>
      </c>
      <c r="E16" s="5" t="n"/>
      <c r="G16">
        <f>+F16*D16</f>
        <v/>
      </c>
      <c r="H16" s="21">
        <f>+G16/$G$33</f>
        <v/>
      </c>
      <c r="I16" s="27" t="inlineStr">
        <is>
          <t>REJECTED</t>
        </is>
      </c>
      <c r="K16" s="36">
        <f>+(J16-H16)*$G$33</f>
        <v/>
      </c>
      <c r="L16" s="36">
        <f>+K16/D16</f>
        <v/>
      </c>
      <c r="M16" s="48">
        <f>IF(N16=0,"",C16)</f>
        <v/>
      </c>
      <c r="N16" s="49">
        <f>+F16+L16</f>
        <v/>
      </c>
      <c r="O16">
        <f>+N16*D16</f>
        <v/>
      </c>
      <c r="P16" s="21">
        <f>+O16/$O$33</f>
        <v/>
      </c>
    </row>
    <row r="17">
      <c r="A17" s="5" t="inlineStr">
        <is>
          <t>DJ30</t>
        </is>
      </c>
      <c r="B17" s="47" t="n">
        <v>46192</v>
      </c>
      <c r="C17" s="17" t="inlineStr">
        <is>
          <t>JNJ</t>
        </is>
      </c>
      <c r="D17" s="7" t="n">
        <v>100</v>
      </c>
      <c r="E17" s="5" t="n"/>
      <c r="G17">
        <f>+F17*D17</f>
        <v/>
      </c>
      <c r="H17" s="21">
        <f>+G17/$G$33</f>
        <v/>
      </c>
      <c r="I17" s="27" t="inlineStr">
        <is>
          <t>REJECTED</t>
        </is>
      </c>
      <c r="K17" s="36">
        <f>+(J17-H17)*$G$33</f>
        <v/>
      </c>
      <c r="L17" s="36">
        <f>+K17/D17</f>
        <v/>
      </c>
      <c r="M17" s="48">
        <f>IF(N17=0,"",C17)</f>
        <v/>
      </c>
      <c r="N17" s="49">
        <f>+F17+L17</f>
        <v/>
      </c>
      <c r="O17">
        <f>+N17*D17</f>
        <v/>
      </c>
      <c r="P17" s="21">
        <f>+O17/$O$33</f>
        <v/>
      </c>
    </row>
    <row r="18">
      <c r="A18" s="5" t="inlineStr">
        <is>
          <t>DJ30</t>
        </is>
      </c>
      <c r="B18" s="47" t="n">
        <v>46192</v>
      </c>
      <c r="C18" s="17" t="inlineStr">
        <is>
          <t>JPM</t>
        </is>
      </c>
      <c r="D18" s="7" t="n">
        <v>100</v>
      </c>
      <c r="E18" s="5" t="n"/>
      <c r="G18">
        <f>+F18*D18</f>
        <v/>
      </c>
      <c r="H18" s="21">
        <f>+G18/$G$33</f>
        <v/>
      </c>
      <c r="I18" s="27" t="inlineStr">
        <is>
          <t>REJECTED</t>
        </is>
      </c>
      <c r="K18" s="36">
        <f>+(J18-H18)*$G$33</f>
        <v/>
      </c>
      <c r="L18" s="36">
        <f>+K18/D18</f>
        <v/>
      </c>
      <c r="M18" s="48">
        <f>IF(N18=0,"",C18)</f>
        <v/>
      </c>
      <c r="N18" s="49">
        <f>+F18+L18</f>
        <v/>
      </c>
      <c r="O18">
        <f>+N18*D18</f>
        <v/>
      </c>
      <c r="P18" s="21">
        <f>+O18/$O$33</f>
        <v/>
      </c>
    </row>
    <row r="19">
      <c r="A19" s="5" t="inlineStr">
        <is>
          <t>DJ30</t>
        </is>
      </c>
      <c r="B19" s="47" t="n">
        <v>46192</v>
      </c>
      <c r="C19" s="17" t="inlineStr">
        <is>
          <t>KO</t>
        </is>
      </c>
      <c r="D19" s="7" t="n">
        <v>80</v>
      </c>
      <c r="E19" s="5">
        <f>+C19</f>
        <v/>
      </c>
      <c r="F19" t="n">
        <v>200</v>
      </c>
      <c r="G19">
        <f>+F19*D19</f>
        <v/>
      </c>
      <c r="H19" s="21">
        <f>+G19/$G$33</f>
        <v/>
      </c>
      <c r="I19" s="26" t="inlineStr">
        <is>
          <t>SELECTED</t>
        </is>
      </c>
      <c r="J19" s="11" t="n">
        <v>0.2</v>
      </c>
      <c r="K19" s="36">
        <f>+(J19-H19)*$G$33</f>
        <v/>
      </c>
      <c r="L19" s="36">
        <f>+K19/D19</f>
        <v/>
      </c>
      <c r="M19" s="48">
        <f>IF(N19=0,"",C19)</f>
        <v/>
      </c>
      <c r="N19" s="49">
        <f>+F19+L19</f>
        <v/>
      </c>
      <c r="O19">
        <f>+N19*D19</f>
        <v/>
      </c>
      <c r="P19" s="21">
        <f>+O19/$O$33</f>
        <v/>
      </c>
    </row>
    <row r="20">
      <c r="A20" s="5" t="inlineStr">
        <is>
          <t>DJ30</t>
        </is>
      </c>
      <c r="B20" s="47" t="n">
        <v>46192</v>
      </c>
      <c r="C20" s="17" t="inlineStr">
        <is>
          <t>MCD</t>
        </is>
      </c>
      <c r="D20" s="7" t="n">
        <v>100</v>
      </c>
      <c r="E20" s="5" t="n"/>
      <c r="G20">
        <f>+F20*D20</f>
        <v/>
      </c>
      <c r="H20" s="21">
        <f>+G20/$G$33</f>
        <v/>
      </c>
      <c r="I20" s="27" t="inlineStr">
        <is>
          <t>REJECTED</t>
        </is>
      </c>
      <c r="K20" s="36">
        <f>+(J20-H20)*$G$33</f>
        <v/>
      </c>
      <c r="L20" s="36">
        <f>+K20/D20</f>
        <v/>
      </c>
      <c r="M20" s="48">
        <f>IF(N20=0,"",C20)</f>
        <v/>
      </c>
      <c r="N20" s="49">
        <f>+F20+L20</f>
        <v/>
      </c>
      <c r="O20">
        <f>+N20*D20</f>
        <v/>
      </c>
      <c r="P20" s="21">
        <f>+O20/$O$33</f>
        <v/>
      </c>
    </row>
    <row r="21">
      <c r="A21" s="5" t="inlineStr">
        <is>
          <t>DJ30</t>
        </is>
      </c>
      <c r="B21" s="47" t="n">
        <v>46192</v>
      </c>
      <c r="C21" s="17" t="inlineStr">
        <is>
          <t>MMM</t>
        </is>
      </c>
      <c r="D21" s="7" t="n">
        <v>100</v>
      </c>
      <c r="E21" s="5" t="n"/>
      <c r="G21">
        <f>+F21*D21</f>
        <v/>
      </c>
      <c r="H21" s="21">
        <f>+G21/$G$33</f>
        <v/>
      </c>
      <c r="I21" s="27" t="inlineStr">
        <is>
          <t>REJECTED</t>
        </is>
      </c>
      <c r="K21" s="36">
        <f>+(J21-H21)*$G$33</f>
        <v/>
      </c>
      <c r="L21" s="36">
        <f>+K21/D21</f>
        <v/>
      </c>
      <c r="M21" s="48">
        <f>IF(N21=0,"",C21)</f>
        <v/>
      </c>
      <c r="N21" s="49">
        <f>+F21+L21</f>
        <v/>
      </c>
      <c r="O21">
        <f>+N21*D21</f>
        <v/>
      </c>
      <c r="P21" s="21">
        <f>+O21/$O$33</f>
        <v/>
      </c>
    </row>
    <row r="22">
      <c r="A22" s="5" t="inlineStr">
        <is>
          <t>DJ30</t>
        </is>
      </c>
      <c r="B22" s="47" t="n">
        <v>46192</v>
      </c>
      <c r="C22" s="17" t="inlineStr">
        <is>
          <t>MRK</t>
        </is>
      </c>
      <c r="D22" s="7" t="n">
        <v>100</v>
      </c>
      <c r="E22" s="5" t="n"/>
      <c r="G22">
        <f>+F22*D22</f>
        <v/>
      </c>
      <c r="H22" s="21">
        <f>+G22/$G$33</f>
        <v/>
      </c>
      <c r="I22" s="27" t="inlineStr">
        <is>
          <t>REJECTED</t>
        </is>
      </c>
      <c r="K22" s="36">
        <f>+(J22-H22)*$G$33</f>
        <v/>
      </c>
      <c r="L22" s="36">
        <f>+K22/D22</f>
        <v/>
      </c>
      <c r="M22" s="48">
        <f>IF(N22=0,"",C22)</f>
        <v/>
      </c>
      <c r="N22" s="49">
        <f>+F22+L22</f>
        <v/>
      </c>
      <c r="O22">
        <f>+N22*D22</f>
        <v/>
      </c>
      <c r="P22" s="21">
        <f>+O22/$O$33</f>
        <v/>
      </c>
    </row>
    <row r="23">
      <c r="A23" s="5" t="inlineStr">
        <is>
          <t>DJ30</t>
        </is>
      </c>
      <c r="B23" s="47" t="n">
        <v>46192</v>
      </c>
      <c r="C23" s="17" t="inlineStr">
        <is>
          <t>MSFT</t>
        </is>
      </c>
      <c r="D23" s="7" t="n">
        <v>100</v>
      </c>
      <c r="E23" s="5" t="n"/>
      <c r="G23">
        <f>+F23*D23</f>
        <v/>
      </c>
      <c r="H23" s="21">
        <f>+G23/$G$33</f>
        <v/>
      </c>
      <c r="I23" s="27" t="inlineStr">
        <is>
          <t>REJECTED</t>
        </is>
      </c>
      <c r="K23" s="36">
        <f>+(J23-H23)*$G$33</f>
        <v/>
      </c>
      <c r="L23" s="36">
        <f>+K23/D23</f>
        <v/>
      </c>
      <c r="M23" s="48">
        <f>IF(N23=0,"",C23)</f>
        <v/>
      </c>
      <c r="N23" s="49">
        <f>+F23+L23</f>
        <v/>
      </c>
      <c r="O23">
        <f>+N23*D23</f>
        <v/>
      </c>
      <c r="P23" s="21">
        <f>+O23/$O$33</f>
        <v/>
      </c>
    </row>
    <row r="24">
      <c r="A24" s="5" t="inlineStr">
        <is>
          <t>DJ30</t>
        </is>
      </c>
      <c r="B24" s="47" t="n">
        <v>46192</v>
      </c>
      <c r="C24" s="17" t="inlineStr">
        <is>
          <t>NKE</t>
        </is>
      </c>
      <c r="D24" s="7" t="n">
        <v>100</v>
      </c>
      <c r="E24" s="5">
        <f>+C24</f>
        <v/>
      </c>
      <c r="F24" t="n">
        <v>200</v>
      </c>
      <c r="G24">
        <f>+F24*D24</f>
        <v/>
      </c>
      <c r="H24" s="21">
        <f>+G24/$G$33</f>
        <v/>
      </c>
      <c r="I24" s="26" t="inlineStr">
        <is>
          <t>SELECTED</t>
        </is>
      </c>
      <c r="J24" s="11" t="n">
        <v>0.2</v>
      </c>
      <c r="K24" s="36">
        <f>+(J24-H24)*$G$33</f>
        <v/>
      </c>
      <c r="L24" s="36">
        <f>+K24/D24</f>
        <v/>
      </c>
      <c r="M24" s="48">
        <f>IF(N24=0,"",C24)</f>
        <v/>
      </c>
      <c r="N24" s="49">
        <f>+F24+L24</f>
        <v/>
      </c>
      <c r="O24">
        <f>+N24*D24</f>
        <v/>
      </c>
      <c r="P24" s="21">
        <f>+O24/$O$33</f>
        <v/>
      </c>
    </row>
    <row r="25">
      <c r="A25" s="5" t="inlineStr">
        <is>
          <t>DJ30</t>
        </is>
      </c>
      <c r="B25" s="47" t="n">
        <v>46192</v>
      </c>
      <c r="C25" s="17" t="inlineStr">
        <is>
          <t>NVDA</t>
        </is>
      </c>
      <c r="D25" s="7" t="n">
        <v>100</v>
      </c>
      <c r="E25" s="5" t="n"/>
      <c r="G25">
        <f>+F25*D25</f>
        <v/>
      </c>
      <c r="H25" s="21">
        <f>+G25/$G$33</f>
        <v/>
      </c>
      <c r="I25" s="27" t="inlineStr">
        <is>
          <t>REJECTED</t>
        </is>
      </c>
      <c r="K25" s="36">
        <f>+(J25-H25)*$G$33</f>
        <v/>
      </c>
      <c r="L25" s="36">
        <f>+K25/D25</f>
        <v/>
      </c>
      <c r="M25" s="48">
        <f>IF(N25=0,"",C25)</f>
        <v/>
      </c>
      <c r="N25" s="49">
        <f>+F25+L25</f>
        <v/>
      </c>
      <c r="O25">
        <f>+N25*D25</f>
        <v/>
      </c>
      <c r="P25" s="21">
        <f>+O25/$O$33</f>
        <v/>
      </c>
    </row>
    <row r="26">
      <c r="A26" s="5" t="inlineStr">
        <is>
          <t>DJ30</t>
        </is>
      </c>
      <c r="B26" s="47" t="n">
        <v>46192</v>
      </c>
      <c r="C26" s="17" t="inlineStr">
        <is>
          <t>PG</t>
        </is>
      </c>
      <c r="D26" s="7" t="n">
        <v>100</v>
      </c>
      <c r="E26" s="5" t="n"/>
      <c r="G26">
        <f>+F26*D26</f>
        <v/>
      </c>
      <c r="H26" s="21">
        <f>+G26/$G$33</f>
        <v/>
      </c>
      <c r="I26" s="27" t="inlineStr">
        <is>
          <t>REJECTED</t>
        </is>
      </c>
      <c r="K26" s="36">
        <f>+(J26-H26)*$G$33</f>
        <v/>
      </c>
      <c r="L26" s="36">
        <f>+K26/D26</f>
        <v/>
      </c>
      <c r="M26" s="48">
        <f>IF(N26=0,"",C26)</f>
        <v/>
      </c>
      <c r="N26" s="49">
        <f>+F26+L26</f>
        <v/>
      </c>
      <c r="O26">
        <f>+N26*D26</f>
        <v/>
      </c>
      <c r="P26" s="21">
        <f>+O26/$O$33</f>
        <v/>
      </c>
    </row>
    <row r="27">
      <c r="A27" s="5" t="inlineStr">
        <is>
          <t>DJ30</t>
        </is>
      </c>
      <c r="B27" s="47" t="n">
        <v>46192</v>
      </c>
      <c r="C27" s="17" t="inlineStr">
        <is>
          <t>SHW</t>
        </is>
      </c>
      <c r="D27" s="7" t="n">
        <v>100</v>
      </c>
      <c r="E27" s="5" t="n"/>
      <c r="G27">
        <f>+F27*D27</f>
        <v/>
      </c>
      <c r="H27" s="21">
        <f>+G27/$G$33</f>
        <v/>
      </c>
      <c r="I27" s="27" t="inlineStr">
        <is>
          <t>REJECTED</t>
        </is>
      </c>
      <c r="K27" s="36">
        <f>+(J27-H27)*$G$33</f>
        <v/>
      </c>
      <c r="L27" s="36">
        <f>+K27/D27</f>
        <v/>
      </c>
      <c r="M27" s="48">
        <f>IF(N27=0,"",C27)</f>
        <v/>
      </c>
      <c r="N27" s="49">
        <f>+F27+L27</f>
        <v/>
      </c>
      <c r="O27">
        <f>+N27*D27</f>
        <v/>
      </c>
      <c r="P27" s="21">
        <f>+O27/$O$33</f>
        <v/>
      </c>
    </row>
    <row r="28">
      <c r="A28" s="5" t="inlineStr">
        <is>
          <t>DJ30</t>
        </is>
      </c>
      <c r="B28" s="47" t="n">
        <v>46192</v>
      </c>
      <c r="C28" s="17" t="inlineStr">
        <is>
          <t>TRV</t>
        </is>
      </c>
      <c r="D28" s="7" t="n">
        <v>100</v>
      </c>
      <c r="E28" s="5" t="n"/>
      <c r="G28">
        <f>+F28*D28</f>
        <v/>
      </c>
      <c r="H28" s="21">
        <f>+G28/$G$33</f>
        <v/>
      </c>
      <c r="I28" s="27" t="inlineStr">
        <is>
          <t>REJECTED</t>
        </is>
      </c>
      <c r="K28" s="36">
        <f>+(J28-H28)*$G$33</f>
        <v/>
      </c>
      <c r="L28" s="36">
        <f>+K28/D28</f>
        <v/>
      </c>
      <c r="M28" s="48">
        <f>IF(N28=0,"",C28)</f>
        <v/>
      </c>
      <c r="N28" s="49">
        <f>+F28+L28</f>
        <v/>
      </c>
      <c r="O28">
        <f>+N28*D28</f>
        <v/>
      </c>
      <c r="P28" s="21">
        <f>+O28/$O$33</f>
        <v/>
      </c>
    </row>
    <row r="29">
      <c r="A29" s="5" t="inlineStr">
        <is>
          <t>DJ30</t>
        </is>
      </c>
      <c r="B29" s="47" t="n">
        <v>46192</v>
      </c>
      <c r="C29" s="17" t="inlineStr">
        <is>
          <t>UNH</t>
        </is>
      </c>
      <c r="D29" s="7" t="n">
        <v>100</v>
      </c>
      <c r="E29" s="5" t="n"/>
      <c r="G29">
        <f>+F29*D29</f>
        <v/>
      </c>
      <c r="H29" s="21">
        <f>+G29/$G$33</f>
        <v/>
      </c>
      <c r="I29" s="27" t="inlineStr">
        <is>
          <t>REJECTED</t>
        </is>
      </c>
      <c r="K29" s="36">
        <f>+(J29-H29)*$G$33</f>
        <v/>
      </c>
      <c r="L29" s="36">
        <f>+K29/D29</f>
        <v/>
      </c>
      <c r="M29" s="48">
        <f>IF(N29=0,"",C29)</f>
        <v/>
      </c>
      <c r="N29" s="49">
        <f>+F29+L29</f>
        <v/>
      </c>
      <c r="O29">
        <f>+N29*D29</f>
        <v/>
      </c>
      <c r="P29" s="21">
        <f>+O29/$O$33</f>
        <v/>
      </c>
    </row>
    <row r="30">
      <c r="A30" s="5" t="inlineStr">
        <is>
          <t>DJ30</t>
        </is>
      </c>
      <c r="B30" s="47" t="n">
        <v>46192</v>
      </c>
      <c r="C30" s="17" t="inlineStr">
        <is>
          <t>V</t>
        </is>
      </c>
      <c r="D30" s="7" t="n">
        <v>100</v>
      </c>
      <c r="E30" s="5" t="n"/>
      <c r="G30">
        <f>+F30*D30</f>
        <v/>
      </c>
      <c r="H30" s="21">
        <f>+G30/$G$33</f>
        <v/>
      </c>
      <c r="I30" s="27" t="inlineStr">
        <is>
          <t>REJECTED</t>
        </is>
      </c>
      <c r="K30" s="36">
        <f>+(J30-H30)*$G$33</f>
        <v/>
      </c>
      <c r="L30" s="36">
        <f>+K30/D30</f>
        <v/>
      </c>
      <c r="M30" s="48">
        <f>IF(N30=0,"",C30)</f>
        <v/>
      </c>
      <c r="N30" s="49">
        <f>+F30+L30</f>
        <v/>
      </c>
      <c r="O30">
        <f>+N30*D30</f>
        <v/>
      </c>
      <c r="P30" s="21">
        <f>+O30/$O$33</f>
        <v/>
      </c>
    </row>
    <row r="31">
      <c r="A31" s="5" t="inlineStr">
        <is>
          <t>DJ30</t>
        </is>
      </c>
      <c r="B31" s="47" t="n">
        <v>46192</v>
      </c>
      <c r="C31" s="17" t="inlineStr">
        <is>
          <t>VZ</t>
        </is>
      </c>
      <c r="D31" s="7" t="n">
        <v>100</v>
      </c>
      <c r="E31" s="5" t="n"/>
      <c r="G31">
        <f>+F31*D31</f>
        <v/>
      </c>
      <c r="H31" s="21">
        <f>+G31/$G$33</f>
        <v/>
      </c>
      <c r="I31" s="27" t="inlineStr">
        <is>
          <t>REJECTED</t>
        </is>
      </c>
      <c r="K31" s="36">
        <f>+(J31-H31)*$G$33</f>
        <v/>
      </c>
      <c r="L31" s="36">
        <f>+K31/D31</f>
        <v/>
      </c>
      <c r="M31" s="48">
        <f>IF(N31=0,"",C31)</f>
        <v/>
      </c>
      <c r="N31" s="49">
        <f>+F31+L31</f>
        <v/>
      </c>
      <c r="O31">
        <f>+N31*D31</f>
        <v/>
      </c>
      <c r="P31" s="21">
        <f>+O31/$O$33</f>
        <v/>
      </c>
    </row>
    <row r="32">
      <c r="A32" s="5" t="inlineStr">
        <is>
          <t>DJ30</t>
        </is>
      </c>
      <c r="B32" s="47" t="n">
        <v>46192</v>
      </c>
      <c r="C32" s="17" t="inlineStr">
        <is>
          <t>WMT</t>
        </is>
      </c>
      <c r="D32" s="7" t="n">
        <v>100</v>
      </c>
      <c r="E32" s="5" t="n"/>
      <c r="G32">
        <f>+F32*D32</f>
        <v/>
      </c>
      <c r="H32" s="21">
        <f>+G32/$G$33</f>
        <v/>
      </c>
      <c r="I32" s="27" t="inlineStr">
        <is>
          <t>REJECTED</t>
        </is>
      </c>
      <c r="K32" s="36">
        <f>+(J32-H32)*$G$33</f>
        <v/>
      </c>
      <c r="L32" s="36">
        <f>+K32/D32</f>
        <v/>
      </c>
      <c r="M32" s="48">
        <f>IF(N32=0,"",C32)</f>
        <v/>
      </c>
      <c r="N32" s="49">
        <f>+F32+L32</f>
        <v/>
      </c>
      <c r="O32">
        <f>+N32*D32</f>
        <v/>
      </c>
      <c r="P32" s="21">
        <f>+O32/$O$33</f>
        <v/>
      </c>
    </row>
    <row r="33">
      <c r="A33" s="8" t="inlineStr">
        <is>
          <t>DJ30</t>
        </is>
      </c>
      <c r="B33" s="50" t="n">
        <v>46192</v>
      </c>
      <c r="C33" s="19" t="inlineStr">
        <is>
          <t>Tot Portfolio</t>
        </is>
      </c>
      <c r="D33" s="20" t="n"/>
      <c r="E33" s="8" t="n"/>
      <c r="F33" s="19" t="n"/>
      <c r="G33" s="19">
        <f>+SUM(G3:G32)</f>
        <v/>
      </c>
      <c r="H33" s="22">
        <f>+SUM(H3:H32)</f>
        <v/>
      </c>
      <c r="I33" s="35" t="inlineStr">
        <is>
          <t>TOTAL</t>
        </is>
      </c>
      <c r="J33" s="19" t="n"/>
      <c r="K33" s="51" t="n"/>
      <c r="L33" s="19" t="n"/>
      <c r="M33" s="8" t="n"/>
      <c r="N33" s="19" t="n"/>
      <c r="O33" s="19">
        <f>+SUM(O3:O32)</f>
        <v/>
      </c>
      <c r="P33" s="22">
        <f>+O33/$O$33</f>
        <v/>
      </c>
    </row>
    <row r="34">
      <c r="A34" s="12" t="inlineStr">
        <is>
          <t>DJ30</t>
        </is>
      </c>
      <c r="B34" s="14" t="n">
        <v>46199</v>
      </c>
      <c r="C34" s="15" t="inlineStr">
        <is>
          <t>AAPL</t>
        </is>
      </c>
      <c r="D34" s="16">
        <f>+D3*1.01</f>
        <v/>
      </c>
      <c r="E34" s="5">
        <f>+C34</f>
        <v/>
      </c>
      <c r="F34" s="49">
        <f>+N3</f>
        <v/>
      </c>
      <c r="G34">
        <f>+F34*D34</f>
        <v/>
      </c>
      <c r="H34" s="21">
        <f>+G34/$G$64</f>
        <v/>
      </c>
      <c r="I34" s="27" t="inlineStr">
        <is>
          <t>REJECTED</t>
        </is>
      </c>
      <c r="J34" s="11" t="n"/>
      <c r="K34" s="36">
        <f>+(J34-H34)*$G$64</f>
        <v/>
      </c>
      <c r="L34" s="36">
        <f>+K34/D34</f>
        <v/>
      </c>
      <c r="M34" s="45">
        <f>IF(N34=0,"",C34)</f>
        <v/>
      </c>
      <c r="N34" s="46">
        <f>+F34+L34</f>
        <v/>
      </c>
      <c r="O34" s="13">
        <f>+N34*D34</f>
        <v/>
      </c>
      <c r="P34" s="32">
        <f>+O34/$O$64</f>
        <v/>
      </c>
    </row>
    <row r="35">
      <c r="A35" s="5" t="inlineStr">
        <is>
          <t>DJ30</t>
        </is>
      </c>
      <c r="B35" s="47" t="n">
        <v>46199</v>
      </c>
      <c r="C35" s="17" t="inlineStr">
        <is>
          <t>AMGN</t>
        </is>
      </c>
      <c r="D35" s="7">
        <f>+D4*1.01</f>
        <v/>
      </c>
      <c r="E35" s="5" t="n"/>
      <c r="F35">
        <f>+N4</f>
        <v/>
      </c>
      <c r="G35">
        <f>+F35*D35</f>
        <v/>
      </c>
      <c r="H35" s="21">
        <f>+G35/$G$64</f>
        <v/>
      </c>
      <c r="I35" s="26" t="inlineStr">
        <is>
          <t>SELECTED</t>
        </is>
      </c>
      <c r="J35" s="11" t="n">
        <v>0.2</v>
      </c>
      <c r="K35" s="36">
        <f>+(J35-H35)*$G$64</f>
        <v/>
      </c>
      <c r="L35" s="36">
        <f>+K35/D35</f>
        <v/>
      </c>
      <c r="M35" s="48">
        <f>IF(N35=0,"",C35)</f>
        <v/>
      </c>
      <c r="N35" s="49">
        <f>+F35+L35</f>
        <v/>
      </c>
      <c r="O35">
        <f>+N35*D35</f>
        <v/>
      </c>
      <c r="P35" s="21">
        <f>+O35/$O$64</f>
        <v/>
      </c>
    </row>
    <row r="36">
      <c r="A36" s="5" t="inlineStr">
        <is>
          <t>DJ30</t>
        </is>
      </c>
      <c r="B36" s="47" t="n">
        <v>46199</v>
      </c>
      <c r="C36" s="17" t="inlineStr">
        <is>
          <t>AMZN</t>
        </is>
      </c>
      <c r="D36" s="7">
        <f>+D5*1.01</f>
        <v/>
      </c>
      <c r="E36" s="5" t="n"/>
      <c r="F36">
        <f>+N5</f>
        <v/>
      </c>
      <c r="G36">
        <f>+F36*D36</f>
        <v/>
      </c>
      <c r="H36" s="21">
        <f>+G36/$G$64</f>
        <v/>
      </c>
      <c r="I36" s="27" t="inlineStr">
        <is>
          <t>REJECTED</t>
        </is>
      </c>
      <c r="K36" s="36">
        <f>+(J36-H36)*$G$64</f>
        <v/>
      </c>
      <c r="L36" s="36">
        <f>+K36/D36</f>
        <v/>
      </c>
      <c r="M36" s="48">
        <f>IF(N36=0,"",C36)</f>
        <v/>
      </c>
      <c r="N36" s="49">
        <f>+F36+L36</f>
        <v/>
      </c>
      <c r="O36">
        <f>+N36*D36</f>
        <v/>
      </c>
      <c r="P36" s="21">
        <f>+O36/$O$64</f>
        <v/>
      </c>
    </row>
    <row r="37">
      <c r="A37" s="5" t="inlineStr">
        <is>
          <t>DJ30</t>
        </is>
      </c>
      <c r="B37" s="47" t="n">
        <v>46199</v>
      </c>
      <c r="C37" s="17" t="inlineStr">
        <is>
          <t>AXP</t>
        </is>
      </c>
      <c r="D37" s="7">
        <f>+D6*1.01</f>
        <v/>
      </c>
      <c r="E37" s="5" t="n"/>
      <c r="F37">
        <f>+N6</f>
        <v/>
      </c>
      <c r="G37">
        <f>+F37*D37</f>
        <v/>
      </c>
      <c r="H37" s="21">
        <f>+G37/$G$64</f>
        <v/>
      </c>
      <c r="I37" s="27" t="inlineStr">
        <is>
          <t>REJECTED</t>
        </is>
      </c>
      <c r="K37" s="36">
        <f>+(J37-H37)*$G$64</f>
        <v/>
      </c>
      <c r="L37" s="36">
        <f>+K37/D37</f>
        <v/>
      </c>
      <c r="M37" s="48">
        <f>IF(N37=0,"",C37)</f>
        <v/>
      </c>
      <c r="N37" s="49">
        <f>+F37+L37</f>
        <v/>
      </c>
      <c r="O37">
        <f>+N37*D37</f>
        <v/>
      </c>
      <c r="P37" s="21">
        <f>+O37/$O$64</f>
        <v/>
      </c>
    </row>
    <row r="38">
      <c r="A38" s="5" t="inlineStr">
        <is>
          <t>DJ30</t>
        </is>
      </c>
      <c r="B38" s="47" t="n">
        <v>46199</v>
      </c>
      <c r="C38" s="17" t="inlineStr">
        <is>
          <t>BA</t>
        </is>
      </c>
      <c r="D38" s="7">
        <f>+D7*1.01</f>
        <v/>
      </c>
      <c r="E38" s="5" t="n"/>
      <c r="F38">
        <f>+N7</f>
        <v/>
      </c>
      <c r="G38">
        <f>+F38*D38</f>
        <v/>
      </c>
      <c r="H38" s="21">
        <f>+G38/$G$64</f>
        <v/>
      </c>
      <c r="I38" s="27" t="inlineStr">
        <is>
          <t>REJECTED</t>
        </is>
      </c>
      <c r="K38" s="36">
        <f>+(J38-H38)*$G$64</f>
        <v/>
      </c>
      <c r="L38" s="36">
        <f>+K38/D38</f>
        <v/>
      </c>
      <c r="M38" s="48">
        <f>IF(N38=0,"",C38)</f>
        <v/>
      </c>
      <c r="N38" s="49">
        <f>+F38+L38</f>
        <v/>
      </c>
      <c r="O38">
        <f>+N38*D38</f>
        <v/>
      </c>
      <c r="P38" s="21">
        <f>+O38/$O$64</f>
        <v/>
      </c>
    </row>
    <row r="39">
      <c r="A39" s="5" t="inlineStr">
        <is>
          <t>DJ30</t>
        </is>
      </c>
      <c r="B39" s="47" t="n">
        <v>46199</v>
      </c>
      <c r="C39" s="17" t="inlineStr">
        <is>
          <t>CAT</t>
        </is>
      </c>
      <c r="D39" s="7">
        <f>+D8*1.01</f>
        <v/>
      </c>
      <c r="E39" s="5">
        <f>+C39</f>
        <v/>
      </c>
      <c r="F39">
        <f>+N8</f>
        <v/>
      </c>
      <c r="G39">
        <f>+F39*D39</f>
        <v/>
      </c>
      <c r="H39" s="21">
        <f>+G39/$G$64</f>
        <v/>
      </c>
      <c r="I39" s="26" t="inlineStr">
        <is>
          <t>SELECTED</t>
        </is>
      </c>
      <c r="J39" s="11" t="n">
        <v>0.2</v>
      </c>
      <c r="K39" s="36">
        <f>+(J39-H39)*$G$64</f>
        <v/>
      </c>
      <c r="L39" s="36">
        <f>+K39/D39</f>
        <v/>
      </c>
      <c r="M39" s="48">
        <f>IF(N39=0,"",C39)</f>
        <v/>
      </c>
      <c r="N39" s="49">
        <f>+F39+L39</f>
        <v/>
      </c>
      <c r="O39">
        <f>+N39*D39</f>
        <v/>
      </c>
      <c r="P39" s="21">
        <f>+O39/$O$64</f>
        <v/>
      </c>
    </row>
    <row r="40">
      <c r="A40" s="5" t="inlineStr">
        <is>
          <t>DJ30</t>
        </is>
      </c>
      <c r="B40" s="47" t="n">
        <v>46199</v>
      </c>
      <c r="C40" s="17" t="inlineStr">
        <is>
          <t>CRM</t>
        </is>
      </c>
      <c r="D40" s="7">
        <f>+D9*1.01</f>
        <v/>
      </c>
      <c r="E40" s="5" t="n"/>
      <c r="F40">
        <f>+N9</f>
        <v/>
      </c>
      <c r="G40">
        <f>+F40*D40</f>
        <v/>
      </c>
      <c r="H40" s="21">
        <f>+G40/$G$64</f>
        <v/>
      </c>
      <c r="I40" s="27" t="inlineStr">
        <is>
          <t>REJECTED</t>
        </is>
      </c>
      <c r="K40" s="36">
        <f>+(J40-H40)*$G$64</f>
        <v/>
      </c>
      <c r="L40" s="36">
        <f>+K40/D40</f>
        <v/>
      </c>
      <c r="M40" s="48">
        <f>IF(N40=0,"",C40)</f>
        <v/>
      </c>
      <c r="N40" s="49">
        <f>+F40+L40</f>
        <v/>
      </c>
      <c r="O40">
        <f>+N40*D40</f>
        <v/>
      </c>
      <c r="P40" s="21">
        <f>+O40/$O$64</f>
        <v/>
      </c>
    </row>
    <row r="41">
      <c r="A41" s="5" t="inlineStr">
        <is>
          <t>DJ30</t>
        </is>
      </c>
      <c r="B41" s="47" t="n">
        <v>46199</v>
      </c>
      <c r="C41" s="17" t="inlineStr">
        <is>
          <t>CSCO</t>
        </is>
      </c>
      <c r="D41" s="7">
        <f>+D10*1.01</f>
        <v/>
      </c>
      <c r="E41" s="5" t="n"/>
      <c r="F41">
        <f>+N10</f>
        <v/>
      </c>
      <c r="G41">
        <f>+F41*D41</f>
        <v/>
      </c>
      <c r="H41" s="21">
        <f>+G41/$G$64</f>
        <v/>
      </c>
      <c r="I41" s="27" t="inlineStr">
        <is>
          <t>REJECTED</t>
        </is>
      </c>
      <c r="K41" s="36">
        <f>+(J41-H41)*$G$64</f>
        <v/>
      </c>
      <c r="L41" s="36">
        <f>+K41/D41</f>
        <v/>
      </c>
      <c r="M41" s="48">
        <f>IF(N41=0,"",C41)</f>
        <v/>
      </c>
      <c r="N41" s="49">
        <f>+F41+L41</f>
        <v/>
      </c>
      <c r="O41">
        <f>+N41*D41</f>
        <v/>
      </c>
      <c r="P41" s="21">
        <f>+O41/$O$64</f>
        <v/>
      </c>
    </row>
    <row r="42">
      <c r="A42" s="5" t="inlineStr">
        <is>
          <t>DJ30</t>
        </is>
      </c>
      <c r="B42" s="47" t="n">
        <v>46199</v>
      </c>
      <c r="C42" s="17" t="inlineStr">
        <is>
          <t>CVX</t>
        </is>
      </c>
      <c r="D42" s="7">
        <f>+D11*1.01</f>
        <v/>
      </c>
      <c r="E42" s="5" t="n"/>
      <c r="F42">
        <f>+N11</f>
        <v/>
      </c>
      <c r="G42">
        <f>+F42*D42</f>
        <v/>
      </c>
      <c r="H42" s="21">
        <f>+G42/$G$64</f>
        <v/>
      </c>
      <c r="I42" s="27" t="inlineStr">
        <is>
          <t>REJECTED</t>
        </is>
      </c>
      <c r="K42" s="36">
        <f>+(J42-H42)*$G$64</f>
        <v/>
      </c>
      <c r="L42" s="36">
        <f>+K42/D42</f>
        <v/>
      </c>
      <c r="M42" s="48">
        <f>IF(N42=0,"",C42)</f>
        <v/>
      </c>
      <c r="N42" s="49">
        <f>+F42+L42</f>
        <v/>
      </c>
      <c r="O42">
        <f>+N42*D42</f>
        <v/>
      </c>
      <c r="P42" s="21">
        <f>+O42/$O$64</f>
        <v/>
      </c>
    </row>
    <row r="43">
      <c r="A43" s="5" t="inlineStr">
        <is>
          <t>DJ30</t>
        </is>
      </c>
      <c r="B43" s="47" t="n">
        <v>46199</v>
      </c>
      <c r="C43" s="17" t="inlineStr">
        <is>
          <t>DIS</t>
        </is>
      </c>
      <c r="D43" s="7">
        <f>+D12*1.01</f>
        <v/>
      </c>
      <c r="E43" s="5" t="n"/>
      <c r="F43">
        <f>+N12</f>
        <v/>
      </c>
      <c r="G43">
        <f>+F43*D43</f>
        <v/>
      </c>
      <c r="H43" s="21">
        <f>+G43/$G$64</f>
        <v/>
      </c>
      <c r="I43" s="27" t="inlineStr">
        <is>
          <t>REJECTED</t>
        </is>
      </c>
      <c r="K43" s="36">
        <f>+(J43-H43)*$G$64</f>
        <v/>
      </c>
      <c r="L43" s="36">
        <f>+K43/D43</f>
        <v/>
      </c>
      <c r="M43" s="48">
        <f>IF(N43=0,"",C43)</f>
        <v/>
      </c>
      <c r="N43" s="49">
        <f>+F43+L43</f>
        <v/>
      </c>
      <c r="O43">
        <f>+N43*D43</f>
        <v/>
      </c>
      <c r="P43" s="21">
        <f>+O43/$O$64</f>
        <v/>
      </c>
    </row>
    <row r="44">
      <c r="A44" s="5" t="inlineStr">
        <is>
          <t>DJ30</t>
        </is>
      </c>
      <c r="B44" s="47" t="n">
        <v>46199</v>
      </c>
      <c r="C44" s="17" t="inlineStr">
        <is>
          <t>GS</t>
        </is>
      </c>
      <c r="D44" s="7">
        <f>+D13*1.01</f>
        <v/>
      </c>
      <c r="E44" s="5" t="n"/>
      <c r="F44">
        <f>+N13</f>
        <v/>
      </c>
      <c r="G44">
        <f>+F44*D44</f>
        <v/>
      </c>
      <c r="H44" s="21">
        <f>+G44/$G$64</f>
        <v/>
      </c>
      <c r="I44" s="27" t="inlineStr">
        <is>
          <t>REJECTED</t>
        </is>
      </c>
      <c r="K44" s="36">
        <f>+(J44-H44)*$G$64</f>
        <v/>
      </c>
      <c r="L44" s="36">
        <f>+K44/D44</f>
        <v/>
      </c>
      <c r="M44" s="48">
        <f>IF(N44=0,"",C44)</f>
        <v/>
      </c>
      <c r="N44" s="49">
        <f>+F44+L44</f>
        <v/>
      </c>
      <c r="O44">
        <f>+N44*D44</f>
        <v/>
      </c>
      <c r="P44" s="21">
        <f>+O44/$O$64</f>
        <v/>
      </c>
    </row>
    <row r="45">
      <c r="A45" s="5" t="inlineStr">
        <is>
          <t>DJ30</t>
        </is>
      </c>
      <c r="B45" s="47" t="n">
        <v>46199</v>
      </c>
      <c r="C45" s="17" t="inlineStr">
        <is>
          <t>HD</t>
        </is>
      </c>
      <c r="D45" s="7">
        <f>+D14*1.01</f>
        <v/>
      </c>
      <c r="E45" s="5" t="n"/>
      <c r="F45">
        <f>+N14</f>
        <v/>
      </c>
      <c r="G45">
        <f>+F45*D45</f>
        <v/>
      </c>
      <c r="H45" s="21">
        <f>+G45/$G$64</f>
        <v/>
      </c>
      <c r="I45" s="27" t="inlineStr">
        <is>
          <t>REJECTED</t>
        </is>
      </c>
      <c r="K45" s="36">
        <f>+(J45-H45)*$G$64</f>
        <v/>
      </c>
      <c r="L45" s="36">
        <f>+K45/D45</f>
        <v/>
      </c>
      <c r="M45" s="48">
        <f>IF(N45=0,"",C45)</f>
        <v/>
      </c>
      <c r="N45" s="49">
        <f>+F45+L45</f>
        <v/>
      </c>
      <c r="O45">
        <f>+N45*D45</f>
        <v/>
      </c>
      <c r="P45" s="21">
        <f>+O45/$O$64</f>
        <v/>
      </c>
    </row>
    <row r="46">
      <c r="A46" s="5" t="inlineStr">
        <is>
          <t>DJ30</t>
        </is>
      </c>
      <c r="B46" s="47" t="n">
        <v>46199</v>
      </c>
      <c r="C46" s="17" t="inlineStr">
        <is>
          <t>HON</t>
        </is>
      </c>
      <c r="D46" s="7">
        <f>+D15*1.01</f>
        <v/>
      </c>
      <c r="E46" s="5">
        <f>+C46</f>
        <v/>
      </c>
      <c r="F46">
        <f>+N15</f>
        <v/>
      </c>
      <c r="G46">
        <f>+F46*D46</f>
        <v/>
      </c>
      <c r="H46" s="21">
        <f>+G46/$G$64</f>
        <v/>
      </c>
      <c r="I46" s="26" t="inlineStr">
        <is>
          <t>SELECTED</t>
        </is>
      </c>
      <c r="J46" s="11" t="n">
        <v>0.2</v>
      </c>
      <c r="K46" s="36">
        <f>+(J46-H46)*$G$64</f>
        <v/>
      </c>
      <c r="L46" s="36">
        <f>+K46/D46</f>
        <v/>
      </c>
      <c r="M46" s="48">
        <f>IF(N46=0,"",C46)</f>
        <v/>
      </c>
      <c r="N46" s="49">
        <f>+F46+L46</f>
        <v/>
      </c>
      <c r="O46">
        <f>+N46*D46</f>
        <v/>
      </c>
      <c r="P46" s="21">
        <f>+O46/$O$64</f>
        <v/>
      </c>
    </row>
    <row r="47">
      <c r="A47" s="5" t="inlineStr">
        <is>
          <t>DJ30</t>
        </is>
      </c>
      <c r="B47" s="47" t="n">
        <v>46199</v>
      </c>
      <c r="C47" s="17" t="inlineStr">
        <is>
          <t>IBM</t>
        </is>
      </c>
      <c r="D47" s="7">
        <f>+D16*1.01</f>
        <v/>
      </c>
      <c r="E47" s="5" t="n"/>
      <c r="F47">
        <f>+N16</f>
        <v/>
      </c>
      <c r="G47">
        <f>+F47*D47</f>
        <v/>
      </c>
      <c r="H47" s="21">
        <f>+G47/$G$64</f>
        <v/>
      </c>
      <c r="I47" s="27" t="inlineStr">
        <is>
          <t>REJECTED</t>
        </is>
      </c>
      <c r="K47" s="36">
        <f>+(J47-H47)*$G$64</f>
        <v/>
      </c>
      <c r="L47" s="36">
        <f>+K47/D47</f>
        <v/>
      </c>
      <c r="M47" s="48">
        <f>IF(N47=0,"",C47)</f>
        <v/>
      </c>
      <c r="N47" s="49">
        <f>+F47+L47</f>
        <v/>
      </c>
      <c r="O47">
        <f>+N47*D47</f>
        <v/>
      </c>
      <c r="P47" s="21">
        <f>+O47/$O$64</f>
        <v/>
      </c>
    </row>
    <row r="48">
      <c r="A48" s="5" t="inlineStr">
        <is>
          <t>DJ30</t>
        </is>
      </c>
      <c r="B48" s="47" t="n">
        <v>46199</v>
      </c>
      <c r="C48" s="17" t="inlineStr">
        <is>
          <t>JNJ</t>
        </is>
      </c>
      <c r="D48" s="7">
        <f>+D17*1.01</f>
        <v/>
      </c>
      <c r="E48" s="5" t="n"/>
      <c r="F48">
        <f>+N17</f>
        <v/>
      </c>
      <c r="G48">
        <f>+F48*D48</f>
        <v/>
      </c>
      <c r="H48" s="21">
        <f>+G48/$G$64</f>
        <v/>
      </c>
      <c r="I48" s="27" t="inlineStr">
        <is>
          <t>REJECTED</t>
        </is>
      </c>
      <c r="K48" s="36">
        <f>+(J48-H48)*$G$64</f>
        <v/>
      </c>
      <c r="L48" s="36">
        <f>+K48/D48</f>
        <v/>
      </c>
      <c r="M48" s="48">
        <f>IF(N48=0,"",C48)</f>
        <v/>
      </c>
      <c r="N48" s="49">
        <f>+F48+L48</f>
        <v/>
      </c>
      <c r="O48">
        <f>+N48*D48</f>
        <v/>
      </c>
      <c r="P48" s="21">
        <f>+O48/$O$64</f>
        <v/>
      </c>
    </row>
    <row r="49">
      <c r="A49" s="5" t="inlineStr">
        <is>
          <t>DJ30</t>
        </is>
      </c>
      <c r="B49" s="47" t="n">
        <v>46199</v>
      </c>
      <c r="C49" s="17" t="inlineStr">
        <is>
          <t>JPM</t>
        </is>
      </c>
      <c r="D49" s="7">
        <f>+D18*1.01</f>
        <v/>
      </c>
      <c r="E49" s="5" t="n"/>
      <c r="F49">
        <f>+N18</f>
        <v/>
      </c>
      <c r="G49">
        <f>+F49*D49</f>
        <v/>
      </c>
      <c r="H49" s="21">
        <f>+G49/$G$64</f>
        <v/>
      </c>
      <c r="I49" s="27" t="inlineStr">
        <is>
          <t>REJECTED</t>
        </is>
      </c>
      <c r="K49" s="36">
        <f>+(J49-H49)*$G$64</f>
        <v/>
      </c>
      <c r="L49" s="36">
        <f>+K49/D49</f>
        <v/>
      </c>
      <c r="M49" s="48">
        <f>IF(N49=0,"",C49)</f>
        <v/>
      </c>
      <c r="N49" s="49">
        <f>+F49+L49</f>
        <v/>
      </c>
      <c r="O49">
        <f>+N49*D49</f>
        <v/>
      </c>
      <c r="P49" s="21">
        <f>+O49/$O$64</f>
        <v/>
      </c>
    </row>
    <row r="50">
      <c r="A50" s="5" t="inlineStr">
        <is>
          <t>DJ30</t>
        </is>
      </c>
      <c r="B50" s="47" t="n">
        <v>46199</v>
      </c>
      <c r="C50" s="17" t="inlineStr">
        <is>
          <t>KO</t>
        </is>
      </c>
      <c r="D50" s="7">
        <f>+D19*1.01</f>
        <v/>
      </c>
      <c r="E50" s="5">
        <f>+C50</f>
        <v/>
      </c>
      <c r="F50">
        <f>+N19</f>
        <v/>
      </c>
      <c r="G50">
        <f>+F50*D50</f>
        <v/>
      </c>
      <c r="H50" s="21">
        <f>+G50/$G$64</f>
        <v/>
      </c>
      <c r="I50" s="26" t="inlineStr">
        <is>
          <t>SELECTED</t>
        </is>
      </c>
      <c r="J50" s="11" t="n">
        <v>0.2</v>
      </c>
      <c r="K50" s="36">
        <f>+(J50-H50)*$G$64</f>
        <v/>
      </c>
      <c r="L50" s="36">
        <f>+K50/D50</f>
        <v/>
      </c>
      <c r="M50" s="48">
        <f>IF(N50=0,"",C50)</f>
        <v/>
      </c>
      <c r="N50" s="49">
        <f>+F50+L50</f>
        <v/>
      </c>
      <c r="O50">
        <f>+N50*D50</f>
        <v/>
      </c>
      <c r="P50" s="21">
        <f>+O50/$O$64</f>
        <v/>
      </c>
    </row>
    <row r="51">
      <c r="A51" s="5" t="inlineStr">
        <is>
          <t>DJ30</t>
        </is>
      </c>
      <c r="B51" s="47" t="n">
        <v>46199</v>
      </c>
      <c r="C51" s="17" t="inlineStr">
        <is>
          <t>MCD</t>
        </is>
      </c>
      <c r="D51" s="7">
        <f>+D20*1.01</f>
        <v/>
      </c>
      <c r="E51" s="5" t="n"/>
      <c r="F51">
        <f>+N20</f>
        <v/>
      </c>
      <c r="G51">
        <f>+F51*D51</f>
        <v/>
      </c>
      <c r="H51" s="21">
        <f>+G51/$G$64</f>
        <v/>
      </c>
      <c r="I51" s="27" t="inlineStr">
        <is>
          <t>REJECTED</t>
        </is>
      </c>
      <c r="K51" s="36">
        <f>+(J51-H51)*$G$64</f>
        <v/>
      </c>
      <c r="L51" s="36">
        <f>+K51/D51</f>
        <v/>
      </c>
      <c r="M51" s="48">
        <f>IF(N51=0,"",C51)</f>
        <v/>
      </c>
      <c r="N51" s="49">
        <f>+F51+L51</f>
        <v/>
      </c>
      <c r="O51">
        <f>+N51*D51</f>
        <v/>
      </c>
      <c r="P51" s="21">
        <f>+O51/$O$64</f>
        <v/>
      </c>
    </row>
    <row r="52">
      <c r="A52" s="5" t="inlineStr">
        <is>
          <t>DJ30</t>
        </is>
      </c>
      <c r="B52" s="47" t="n">
        <v>46199</v>
      </c>
      <c r="C52" s="17" t="inlineStr">
        <is>
          <t>MMM</t>
        </is>
      </c>
      <c r="D52" s="7">
        <f>+D21*1.01</f>
        <v/>
      </c>
      <c r="E52" s="5" t="n"/>
      <c r="F52">
        <f>+N21</f>
        <v/>
      </c>
      <c r="G52">
        <f>+F52*D52</f>
        <v/>
      </c>
      <c r="H52" s="21">
        <f>+G52/$G$64</f>
        <v/>
      </c>
      <c r="I52" s="27" t="inlineStr">
        <is>
          <t>REJECTED</t>
        </is>
      </c>
      <c r="K52" s="36">
        <f>+(J52-H52)*$G$64</f>
        <v/>
      </c>
      <c r="L52" s="36">
        <f>+K52/D52</f>
        <v/>
      </c>
      <c r="M52" s="48">
        <f>IF(N52=0,"",C52)</f>
        <v/>
      </c>
      <c r="N52" s="49">
        <f>+F52+L52</f>
        <v/>
      </c>
      <c r="O52">
        <f>+N52*D52</f>
        <v/>
      </c>
      <c r="P52" s="21">
        <f>+O52/$O$64</f>
        <v/>
      </c>
    </row>
    <row r="53">
      <c r="A53" s="5" t="inlineStr">
        <is>
          <t>DJ30</t>
        </is>
      </c>
      <c r="B53" s="47" t="n">
        <v>46199</v>
      </c>
      <c r="C53" s="17" t="inlineStr">
        <is>
          <t>MRK</t>
        </is>
      </c>
      <c r="D53" s="7">
        <f>+D22*1.01</f>
        <v/>
      </c>
      <c r="E53" s="5" t="n"/>
      <c r="F53">
        <f>+N22</f>
        <v/>
      </c>
      <c r="G53">
        <f>+F53*D53</f>
        <v/>
      </c>
      <c r="H53" s="21">
        <f>+G53/$G$64</f>
        <v/>
      </c>
      <c r="I53" s="27" t="inlineStr">
        <is>
          <t>REJECTED</t>
        </is>
      </c>
      <c r="K53" s="36">
        <f>+(J53-H53)*$G$64</f>
        <v/>
      </c>
      <c r="L53" s="36">
        <f>+K53/D53</f>
        <v/>
      </c>
      <c r="M53" s="48">
        <f>IF(N53=0,"",C53)</f>
        <v/>
      </c>
      <c r="N53" s="49">
        <f>+F53+L53</f>
        <v/>
      </c>
      <c r="O53">
        <f>+N53*D53</f>
        <v/>
      </c>
      <c r="P53" s="21">
        <f>+O53/$O$64</f>
        <v/>
      </c>
    </row>
    <row r="54">
      <c r="A54" s="5" t="inlineStr">
        <is>
          <t>DJ30</t>
        </is>
      </c>
      <c r="B54" s="47" t="n">
        <v>46199</v>
      </c>
      <c r="C54" s="17" t="inlineStr">
        <is>
          <t>MSFT</t>
        </is>
      </c>
      <c r="D54" s="7">
        <f>+D23*1.01</f>
        <v/>
      </c>
      <c r="E54" s="5" t="n"/>
      <c r="F54">
        <f>+N23</f>
        <v/>
      </c>
      <c r="G54">
        <f>+F54*D54</f>
        <v/>
      </c>
      <c r="H54" s="21">
        <f>+G54/$G$64</f>
        <v/>
      </c>
      <c r="I54" s="27" t="inlineStr">
        <is>
          <t>REJECTED</t>
        </is>
      </c>
      <c r="K54" s="36">
        <f>+(J54-H54)*$G$64</f>
        <v/>
      </c>
      <c r="L54" s="36">
        <f>+K54/D54</f>
        <v/>
      </c>
      <c r="M54" s="48">
        <f>IF(N54=0,"",C54)</f>
        <v/>
      </c>
      <c r="N54" s="49">
        <f>+F54+L54</f>
        <v/>
      </c>
      <c r="O54">
        <f>+N54*D54</f>
        <v/>
      </c>
      <c r="P54" s="21">
        <f>+O54/$O$64</f>
        <v/>
      </c>
    </row>
    <row r="55">
      <c r="A55" s="5" t="inlineStr">
        <is>
          <t>DJ30</t>
        </is>
      </c>
      <c r="B55" s="47" t="n">
        <v>46199</v>
      </c>
      <c r="C55" s="17" t="inlineStr">
        <is>
          <t>NKE</t>
        </is>
      </c>
      <c r="D55" s="7">
        <f>+D24*1.01</f>
        <v/>
      </c>
      <c r="E55" s="5">
        <f>+C55</f>
        <v/>
      </c>
      <c r="F55">
        <f>+N24</f>
        <v/>
      </c>
      <c r="G55">
        <f>+F55*D55</f>
        <v/>
      </c>
      <c r="H55" s="21">
        <f>+G55/$G$64</f>
        <v/>
      </c>
      <c r="I55" s="26" t="inlineStr">
        <is>
          <t>SELECTED</t>
        </is>
      </c>
      <c r="J55" s="11" t="n">
        <v>0.2</v>
      </c>
      <c r="K55" s="36">
        <f>+(J55-H55)*$G$64</f>
        <v/>
      </c>
      <c r="L55" s="36">
        <f>+K55/D55</f>
        <v/>
      </c>
      <c r="M55" s="48">
        <f>IF(N55=0,"",C55)</f>
        <v/>
      </c>
      <c r="N55" s="49">
        <f>+F55+L55</f>
        <v/>
      </c>
      <c r="O55">
        <f>+N55*D55</f>
        <v/>
      </c>
      <c r="P55" s="21">
        <f>+O55/$O$64</f>
        <v/>
      </c>
    </row>
    <row r="56">
      <c r="A56" s="5" t="inlineStr">
        <is>
          <t>DJ30</t>
        </is>
      </c>
      <c r="B56" s="47" t="n">
        <v>46199</v>
      </c>
      <c r="C56" s="17" t="inlineStr">
        <is>
          <t>NVDA</t>
        </is>
      </c>
      <c r="D56" s="7">
        <f>+D25*1.01</f>
        <v/>
      </c>
      <c r="E56" s="5" t="n"/>
      <c r="F56">
        <f>+N25</f>
        <v/>
      </c>
      <c r="G56">
        <f>+F56*D56</f>
        <v/>
      </c>
      <c r="H56" s="21">
        <f>+G56/$G$64</f>
        <v/>
      </c>
      <c r="I56" s="27" t="inlineStr">
        <is>
          <t>REJECTED</t>
        </is>
      </c>
      <c r="K56" s="36">
        <f>+(J56-H56)*$G$64</f>
        <v/>
      </c>
      <c r="L56" s="36">
        <f>+K56/D56</f>
        <v/>
      </c>
      <c r="M56" s="48">
        <f>IF(N56=0,"",C56)</f>
        <v/>
      </c>
      <c r="N56" s="49">
        <f>+F56+L56</f>
        <v/>
      </c>
      <c r="O56">
        <f>+N56*D56</f>
        <v/>
      </c>
      <c r="P56" s="21">
        <f>+O56/$O$64</f>
        <v/>
      </c>
    </row>
    <row r="57">
      <c r="A57" s="5" t="inlineStr">
        <is>
          <t>DJ30</t>
        </is>
      </c>
      <c r="B57" s="47" t="n">
        <v>46199</v>
      </c>
      <c r="C57" s="17" t="inlineStr">
        <is>
          <t>PG</t>
        </is>
      </c>
      <c r="D57" s="7">
        <f>+D26*1.01</f>
        <v/>
      </c>
      <c r="E57" s="5" t="n"/>
      <c r="F57">
        <f>+N26</f>
        <v/>
      </c>
      <c r="G57">
        <f>+F57*D57</f>
        <v/>
      </c>
      <c r="H57" s="21">
        <f>+G57/$G$64</f>
        <v/>
      </c>
      <c r="I57" s="27" t="inlineStr">
        <is>
          <t>REJECTED</t>
        </is>
      </c>
      <c r="K57" s="36">
        <f>+(J57-H57)*$G$64</f>
        <v/>
      </c>
      <c r="L57" s="36">
        <f>+K57/D57</f>
        <v/>
      </c>
      <c r="M57" s="48">
        <f>IF(N57=0,"",C57)</f>
        <v/>
      </c>
      <c r="N57" s="49">
        <f>+F57+L57</f>
        <v/>
      </c>
      <c r="O57">
        <f>+N57*D57</f>
        <v/>
      </c>
      <c r="P57" s="21">
        <f>+O57/$O$64</f>
        <v/>
      </c>
    </row>
    <row r="58">
      <c r="A58" s="5" t="inlineStr">
        <is>
          <t>DJ30</t>
        </is>
      </c>
      <c r="B58" s="47" t="n">
        <v>46199</v>
      </c>
      <c r="C58" s="17" t="inlineStr">
        <is>
          <t>SHW</t>
        </is>
      </c>
      <c r="D58" s="7">
        <f>+D27*1.01</f>
        <v/>
      </c>
      <c r="E58" s="5" t="n"/>
      <c r="F58">
        <f>+N27</f>
        <v/>
      </c>
      <c r="G58">
        <f>+F58*D58</f>
        <v/>
      </c>
      <c r="H58" s="21">
        <f>+G58/$G$64</f>
        <v/>
      </c>
      <c r="I58" s="27" t="inlineStr">
        <is>
          <t>REJECTED</t>
        </is>
      </c>
      <c r="K58" s="36">
        <f>+(J58-H58)*$G$64</f>
        <v/>
      </c>
      <c r="L58" s="36">
        <f>+K58/D58</f>
        <v/>
      </c>
      <c r="M58" s="48">
        <f>IF(N58=0,"",C58)</f>
        <v/>
      </c>
      <c r="N58" s="49">
        <f>+F58+L58</f>
        <v/>
      </c>
      <c r="O58">
        <f>+N58*D58</f>
        <v/>
      </c>
      <c r="P58" s="21">
        <f>+O58/$O$64</f>
        <v/>
      </c>
    </row>
    <row r="59">
      <c r="A59" s="5" t="inlineStr">
        <is>
          <t>DJ30</t>
        </is>
      </c>
      <c r="B59" s="47" t="n">
        <v>46199</v>
      </c>
      <c r="C59" s="17" t="inlineStr">
        <is>
          <t>TRV</t>
        </is>
      </c>
      <c r="D59" s="7">
        <f>+D28*1.01</f>
        <v/>
      </c>
      <c r="E59" s="5" t="n"/>
      <c r="F59">
        <f>+N28</f>
        <v/>
      </c>
      <c r="G59">
        <f>+F59*D59</f>
        <v/>
      </c>
      <c r="H59" s="21">
        <f>+G59/$G$64</f>
        <v/>
      </c>
      <c r="I59" s="27" t="inlineStr">
        <is>
          <t>REJECTED</t>
        </is>
      </c>
      <c r="K59" s="36">
        <f>+(J59-H59)*$G$64</f>
        <v/>
      </c>
      <c r="L59" s="36">
        <f>+K59/D59</f>
        <v/>
      </c>
      <c r="M59" s="48">
        <f>IF(N59=0,"",C59)</f>
        <v/>
      </c>
      <c r="N59" s="49">
        <f>+F59+L59</f>
        <v/>
      </c>
      <c r="O59">
        <f>+N59*D59</f>
        <v/>
      </c>
      <c r="P59" s="21">
        <f>+O59/$O$64</f>
        <v/>
      </c>
    </row>
    <row r="60">
      <c r="A60" s="5" t="inlineStr">
        <is>
          <t>DJ30</t>
        </is>
      </c>
      <c r="B60" s="47" t="n">
        <v>46199</v>
      </c>
      <c r="C60" s="17" t="inlineStr">
        <is>
          <t>UNH</t>
        </is>
      </c>
      <c r="D60" s="7">
        <f>+D29*1.01</f>
        <v/>
      </c>
      <c r="E60" s="5" t="n"/>
      <c r="F60">
        <f>+N29</f>
        <v/>
      </c>
      <c r="G60">
        <f>+F60*D60</f>
        <v/>
      </c>
      <c r="H60" s="21">
        <f>+G60/$G$64</f>
        <v/>
      </c>
      <c r="I60" s="27" t="inlineStr">
        <is>
          <t>REJECTED</t>
        </is>
      </c>
      <c r="K60" s="36">
        <f>+(J60-H60)*$G$64</f>
        <v/>
      </c>
      <c r="L60" s="36">
        <f>+K60/D60</f>
        <v/>
      </c>
      <c r="M60" s="48">
        <f>IF(N60=0,"",C60)</f>
        <v/>
      </c>
      <c r="N60" s="49">
        <f>+F60+L60</f>
        <v/>
      </c>
      <c r="O60">
        <f>+N60*D60</f>
        <v/>
      </c>
      <c r="P60" s="21">
        <f>+O60/$O$64</f>
        <v/>
      </c>
    </row>
    <row r="61">
      <c r="A61" s="5" t="inlineStr">
        <is>
          <t>DJ30</t>
        </is>
      </c>
      <c r="B61" s="47" t="n">
        <v>46199</v>
      </c>
      <c r="C61" s="17" t="inlineStr">
        <is>
          <t>V</t>
        </is>
      </c>
      <c r="D61" s="7">
        <f>+D30*1.01</f>
        <v/>
      </c>
      <c r="E61" s="5" t="n"/>
      <c r="F61">
        <f>+N30</f>
        <v/>
      </c>
      <c r="G61">
        <f>+F61*D61</f>
        <v/>
      </c>
      <c r="H61" s="21">
        <f>+G61/$G$64</f>
        <v/>
      </c>
      <c r="I61" s="27" t="inlineStr">
        <is>
          <t>REJECTED</t>
        </is>
      </c>
      <c r="K61" s="36">
        <f>+(J61-H61)*$G$64</f>
        <v/>
      </c>
      <c r="L61" s="36">
        <f>+K61/D61</f>
        <v/>
      </c>
      <c r="M61" s="48">
        <f>IF(N61=0,"",C61)</f>
        <v/>
      </c>
      <c r="N61" s="49">
        <f>+F61+L61</f>
        <v/>
      </c>
      <c r="O61">
        <f>+N61*D61</f>
        <v/>
      </c>
      <c r="P61" s="21">
        <f>+O61/$O$64</f>
        <v/>
      </c>
    </row>
    <row r="62">
      <c r="A62" s="5" t="inlineStr">
        <is>
          <t>DJ30</t>
        </is>
      </c>
      <c r="B62" s="47" t="n">
        <v>46199</v>
      </c>
      <c r="C62" s="17" t="inlineStr">
        <is>
          <t>VZ</t>
        </is>
      </c>
      <c r="D62" s="7">
        <f>+D31*1.01</f>
        <v/>
      </c>
      <c r="E62" s="5" t="n"/>
      <c r="F62">
        <f>+N31</f>
        <v/>
      </c>
      <c r="G62">
        <f>+F62*D62</f>
        <v/>
      </c>
      <c r="H62" s="21">
        <f>+G62/$G$64</f>
        <v/>
      </c>
      <c r="I62" s="27" t="inlineStr">
        <is>
          <t>REJECTED</t>
        </is>
      </c>
      <c r="K62" s="36">
        <f>+(J62-H62)*$G$64</f>
        <v/>
      </c>
      <c r="L62" s="36">
        <f>+K62/D62</f>
        <v/>
      </c>
      <c r="M62" s="48">
        <f>IF(N62=0,"",C62)</f>
        <v/>
      </c>
      <c r="N62" s="49">
        <f>+F62+L62</f>
        <v/>
      </c>
      <c r="O62">
        <f>+N62*D62</f>
        <v/>
      </c>
      <c r="P62" s="21">
        <f>+O62/$O$64</f>
        <v/>
      </c>
    </row>
    <row r="63">
      <c r="A63" s="5" t="inlineStr">
        <is>
          <t>DJ30</t>
        </is>
      </c>
      <c r="B63" s="47" t="n">
        <v>46199</v>
      </c>
      <c r="C63" s="17" t="inlineStr">
        <is>
          <t>WMT</t>
        </is>
      </c>
      <c r="D63" s="7">
        <f>+D32*1.01</f>
        <v/>
      </c>
      <c r="E63" s="5" t="n"/>
      <c r="F63">
        <f>+N32</f>
        <v/>
      </c>
      <c r="G63">
        <f>+F63*D63</f>
        <v/>
      </c>
      <c r="H63" s="21">
        <f>+G63/$G$64</f>
        <v/>
      </c>
      <c r="I63" s="27" t="inlineStr">
        <is>
          <t>REJECTED</t>
        </is>
      </c>
      <c r="K63" s="36">
        <f>+(J63-H63)*$G$64</f>
        <v/>
      </c>
      <c r="L63" s="36">
        <f>+K63/D63</f>
        <v/>
      </c>
      <c r="M63" s="48">
        <f>IF(N63=0,"",C63)</f>
        <v/>
      </c>
      <c r="N63" s="49">
        <f>+F63+L63</f>
        <v/>
      </c>
      <c r="O63">
        <f>+N63*D63</f>
        <v/>
      </c>
      <c r="P63" s="21">
        <f>+O63/$O$64</f>
        <v/>
      </c>
    </row>
    <row r="64">
      <c r="A64" s="8" t="inlineStr">
        <is>
          <t>DJ30</t>
        </is>
      </c>
      <c r="B64" s="50" t="n">
        <v>46199</v>
      </c>
      <c r="C64" s="19" t="inlineStr">
        <is>
          <t>Tot Portfolio</t>
        </is>
      </c>
      <c r="D64" s="20" t="n"/>
      <c r="E64" s="8" t="n"/>
      <c r="F64" s="19">
        <f>+N33</f>
        <v/>
      </c>
      <c r="G64" s="19">
        <f>+SUM(G34:G63)</f>
        <v/>
      </c>
      <c r="H64" s="22">
        <f>+SUM(H34:H63)</f>
        <v/>
      </c>
      <c r="I64" s="27" t="inlineStr">
        <is>
          <t>TOTAL</t>
        </is>
      </c>
      <c r="J64" s="19" t="n"/>
      <c r="K64" s="51" t="n"/>
      <c r="L64" s="19" t="n"/>
      <c r="M64" s="8" t="n"/>
      <c r="N64" s="19" t="n"/>
      <c r="O64" s="19">
        <f>+SUM(O34:O63)</f>
        <v/>
      </c>
      <c r="P64" s="22">
        <f>+O64/$O$64</f>
        <v/>
      </c>
    </row>
  </sheetData>
  <mergeCells count="2">
    <mergeCell ref="I1:L1"/>
    <mergeCell ref="E1:H1"/>
  </mergeCells>
  <conditionalFormatting sqref="L3:M32">
    <cfRule type="cellIs" priority="2" operator="lessThan" dxfId="0">
      <formula>0</formula>
    </cfRule>
  </conditionalFormatting>
  <conditionalFormatting sqref="L34:M63">
    <cfRule type="cellIs" priority="1" operator="lessThan" dxfId="0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Utente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2026-07-01T14:50:22Z</dcterms:modified>
  <cp:lastModifiedBy>Utente</cp:lastModifiedBy>
</cp:coreProperties>
</file>